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eiha\soarx-fastapi\engines\"/>
    </mc:Choice>
  </mc:AlternateContent>
  <xr:revisionPtr revIDLastSave="0" documentId="8_{C6D9812F-670B-4698-8110-66D1858C6DE0}" xr6:coauthVersionLast="47" xr6:coauthVersionMax="47" xr10:uidLastSave="{00000000-0000-0000-0000-000000000000}"/>
  <bookViews>
    <workbookView xWindow="1536" yWindow="1536" windowWidth="17280" windowHeight="9960" firstSheet="13" activeTab="13" xr2:uid="{C86CB49E-E0EF-4FC2-B6EA-FEF9F16491CA}"/>
  </bookViews>
  <sheets>
    <sheet name="Client_Info" sheetId="2" r:id="rId1"/>
    <sheet name="FX_Conversion" sheetId="3" r:id="rId2"/>
    <sheet name="Fin_Inputs_Entity1" sheetId="4" r:id="rId3"/>
    <sheet name="Fin_Inputs_Entity2" sheetId="5" r:id="rId4"/>
    <sheet name="Fin_Inputs_Entity3" sheetId="6" r:id="rId5"/>
    <sheet name="Adjustments" sheetId="7" r:id="rId6"/>
    <sheet name="KPIs" sheetId="8" r:id="rId7"/>
    <sheet name="Valuation" sheetId="9" r:id="rId8"/>
    <sheet name="Model_3Statement" sheetId="10" r:id="rId9"/>
    <sheet name="Charts" sheetId="11" r:id="rId10"/>
    <sheet name="Benchmarking" sheetId="12" r:id="rId11"/>
    <sheet name="Due_Diligence" sheetId="13" r:id="rId12"/>
    <sheet name="Deal_Terms" sheetId="14" r:id="rId13"/>
    <sheet name="Consolidation" sheetId="15" r:id="rId14"/>
    <sheet name="Review_Checks" sheetId="16" r:id="rId15"/>
    <sheet name="Export_Report" sheetId="17" r:id="rId16"/>
    <sheet name="Fin_Inputs_Entity4" sheetId="18" r:id="rId17"/>
    <sheet name="Fin_Inputs_Entity5" sheetId="19" r:id="rId18"/>
    <sheet name="Fin_Inputs_Entity6" sheetId="20" r:id="rId19"/>
    <sheet name="Fin_Inputs_Entity7" sheetId="21" r:id="rId20"/>
    <sheet name="Fin_Inputs_Entity8" sheetId="22" r:id="rId21"/>
    <sheet name="Fin_Inputs_Entity9" sheetId="23" r:id="rId22"/>
    <sheet name="Fin_Inputs_Entity10" sheetId="24" r:id="rId23"/>
    <sheet name="Global_Rates" sheetId="25" r:id="rId24"/>
    <sheet name="Audit_Log_Rates" sheetId="26" r:id="rId25"/>
    <sheet name="Entity_Ownership" sheetId="27" r:id="rId26"/>
    <sheet name="Loan_Readiness" sheetId="28" r:id="rId27"/>
    <sheet name="Business_Health_Score" sheetId="29" r:id="rId28"/>
    <sheet name="Scenario_Analysis" sheetId="30" r:id="rId29"/>
    <sheet name="SBA_Prep" sheetId="31" r:id="rId30"/>
    <sheet name="Exit_Readiness" sheetId="32" r:id="rId31"/>
    <sheet name="Working_Capital_Optimization" sheetId="33" r:id="rId32"/>
    <sheet name="Valuation_Summary" sheetId="34" r:id="rId33"/>
    <sheet name="Document_Intake_Checklist" sheetId="35" r:id="rId34"/>
    <sheet name="Valuation_Entity1" sheetId="36" r:id="rId35"/>
    <sheet name="Valuation_Entity2" sheetId="37" r:id="rId36"/>
    <sheet name="Valuation_Entity3" sheetId="38" r:id="rId37"/>
    <sheet name="Valuation_Entity4" sheetId="39" r:id="rId38"/>
    <sheet name="Valuation_Entity5" sheetId="40" r:id="rId39"/>
    <sheet name="Valuation_Entity6" sheetId="41" r:id="rId40"/>
    <sheet name="Valuation_Entity7" sheetId="42" r:id="rId41"/>
    <sheet name="Valuation_Entity8" sheetId="43" r:id="rId42"/>
    <sheet name="Valuation_Entity9" sheetId="44" r:id="rId43"/>
    <sheet name="Valuation_Entity10" sheetId="45" r:id="rId44"/>
  </sheets>
  <definedNames>
    <definedName name="FX_Rate_Entity1">FX_Conversion!$C$4</definedName>
    <definedName name="FX_Rate_Entity10">FX_Conversion!$C$13</definedName>
    <definedName name="FX_Rate_Entity2">FX_Conversion!$C$5</definedName>
    <definedName name="FX_Rate_Entity3">FX_Conversion!$C$6</definedName>
    <definedName name="FX_Rate_Entity4">FX_Conversion!$C$7</definedName>
    <definedName name="FX_Rate_Entity5">FX_Conversion!$C$8</definedName>
    <definedName name="FX_Rate_Entity6">FX_Conversion!$C$9</definedName>
    <definedName name="FX_Rate_Entity7">FX_Conversion!$C$10</definedName>
    <definedName name="FX_Rate_Entity8">FX_Conversion!$C$11</definedName>
    <definedName name="FX_Rate_Entity9">FX_Conversion!$C$12</definedName>
    <definedName name="NR_Beta">Valuation!$B$6</definedName>
    <definedName name="NR_Client_Currency">Client_Info!$B$6</definedName>
    <definedName name="NR_Client_Name">Client_Info!$B$3</definedName>
    <definedName name="NR_Cost_of_Debt">Valuation!$B$8</definedName>
    <definedName name="NR_Cost_of_Equity">Valuation!$B$12</definedName>
    <definedName name="NR_DCF_Value">Valuation!$B$23</definedName>
    <definedName name="NR_Debt_Weight">Valuation!$B$10</definedName>
    <definedName name="NR_EBITDA_Multiple">"Valuation!B27"</definedName>
    <definedName name="NR_EBITDA_Normalized">"Adjustments!B21"</definedName>
    <definedName name="NR_Entity_Count">Client_Info!$B$10</definedName>
    <definedName name="NR_Equity_Weight">Valuation!$B$11</definedName>
    <definedName name="NR_Exit_Multiple">"Valuation!C18"</definedName>
    <definedName name="NR_Final_Valuation">Valuation!$B$36</definedName>
    <definedName name="NR_FX_Auto">FX_Conversion!$J$8</definedName>
    <definedName name="NR_FX_Date">FX_Conversion!$J$6</definedName>
    <definedName name="NR_FX_Final">FX_Conversion!$J$9</definedName>
    <definedName name="NR_FX_Source">FX_Conversion!$J$5</definedName>
    <definedName name="NR_Industry">Client_Info!$B$4</definedName>
    <definedName name="NR_List_ContributionType">Client_Info!$N$2:$N$5</definedName>
    <definedName name="NR_List_Country">Client_Info!$J$2:$J$11</definedName>
    <definedName name="NR_List_Currency">Client_Info!$K$2:$K$11</definedName>
    <definedName name="NR_List_Document_Status">Client_Info!$O$8:$R$8</definedName>
    <definedName name="NR_List_DocumentStatus">Client_Info!$P$2:$P$4</definedName>
    <definedName name="NR_List_Entity">Client_Info!$O$11:$W$11</definedName>
    <definedName name="NR_List_FX_Source">Client_Info!$O$6:$P$6</definedName>
    <definedName name="NR_List_FXSource">Client_Info!$M$2:$M$3</definedName>
    <definedName name="NR_List_JV_Contribution_Type">Client_Info!$O$4:$R$4</definedName>
    <definedName name="NR_List_OverrideReason">Client_Info!$R$2:$R$4</definedName>
    <definedName name="NR_List_Ownership_Type">Client_Info!$O$3:$R$3</definedName>
    <definedName name="NR_List_Rate_Override_Reason">Client_Info!$O$7:$R$7</definedName>
    <definedName name="NR_List_Scenario">Client_Info!$O$9:$Q$9</definedName>
    <definedName name="NR_List_Waterfall_Tier">Client_Info!$O$5:$R$5</definedName>
    <definedName name="NR_List_WaterfallTier">Client_Info!$O$2:$O$5</definedName>
    <definedName name="NR_List_Yes_No">Client_Info!$O$10:$P$10</definedName>
    <definedName name="NR_List_YesNo">Client_Info!$L$2:$L$3</definedName>
    <definedName name="NR_Location">Client_Info!$B$5</definedName>
    <definedName name="NR_Market_Risk_Premium">Valuation!$B$7</definedName>
    <definedName name="NR_Multiples_Value">"Valuation!D30"</definedName>
    <definedName name="NR_PE_Multiple">"Valuation!B29"</definedName>
    <definedName name="NR_Revenue_Multiple">"Valuation!B28"</definedName>
    <definedName name="NR_RiskFree">Valuation!$B$5</definedName>
    <definedName name="NR_Service_Line">Client_Info!$B$8</definedName>
    <definedName name="NR_Tax_Rate">Valuation!$B$9</definedName>
    <definedName name="NR_Terminal_Growth">"Valuation!B18"</definedName>
    <definedName name="NR_Terminal_Value">"Valuation!G19"</definedName>
    <definedName name="NR_USD_Rate">FX_Conversion!$J$7</definedName>
    <definedName name="NR_Valuation_Date">Client_Info!$B$7</definedName>
    <definedName name="NR_Valuation_Type">Client_Info!$B$9</definedName>
    <definedName name="NR_WACC">Valuation!$B$13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1" i="15" l="1"/>
  <c r="C31" i="15"/>
  <c r="B24" i="15"/>
  <c r="C24" i="15"/>
  <c r="B22" i="15"/>
  <c r="C22" i="15"/>
  <c r="B23" i="15"/>
  <c r="C23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L33" i="15"/>
  <c r="M33" i="15"/>
  <c r="L34" i="15"/>
  <c r="M34" i="15"/>
  <c r="B45" i="36"/>
  <c r="B31" i="36"/>
  <c r="B5" i="36"/>
  <c r="B6" i="36"/>
  <c r="B7" i="36"/>
  <c r="B8" i="36"/>
  <c r="B9" i="36"/>
  <c r="B10" i="36"/>
  <c r="B11" i="36"/>
  <c r="B14" i="36"/>
  <c r="B37" i="15"/>
  <c r="B36" i="15"/>
  <c r="B35" i="15"/>
  <c r="B34" i="15"/>
  <c r="B33" i="15"/>
  <c r="L4" i="15"/>
  <c r="L5" i="15"/>
  <c r="L6" i="15"/>
  <c r="L7" i="15"/>
  <c r="L8" i="15"/>
  <c r="K19" i="15"/>
  <c r="K18" i="15"/>
  <c r="K17" i="15"/>
  <c r="K16" i="15"/>
  <c r="K15" i="15"/>
  <c r="K9" i="15"/>
  <c r="K8" i="15"/>
  <c r="K7" i="15"/>
  <c r="K6" i="15"/>
  <c r="K5" i="15"/>
  <c r="K4" i="15"/>
  <c r="J19" i="15"/>
  <c r="J18" i="15"/>
  <c r="J17" i="15"/>
  <c r="J16" i="15"/>
  <c r="J15" i="15"/>
  <c r="J9" i="15"/>
  <c r="J8" i="15"/>
  <c r="J7" i="15"/>
  <c r="J6" i="15"/>
  <c r="J5" i="15"/>
  <c r="J4" i="15"/>
  <c r="I19" i="15"/>
  <c r="I18" i="15"/>
  <c r="I17" i="15"/>
  <c r="I16" i="15"/>
  <c r="I15" i="15"/>
  <c r="I9" i="15"/>
  <c r="I8" i="15"/>
  <c r="I7" i="15"/>
  <c r="I6" i="15"/>
  <c r="I5" i="15"/>
  <c r="I4" i="15"/>
  <c r="H19" i="15"/>
  <c r="H18" i="15"/>
  <c r="H17" i="15"/>
  <c r="H16" i="15"/>
  <c r="H15" i="15"/>
  <c r="H9" i="15"/>
  <c r="H8" i="15"/>
  <c r="H7" i="15"/>
  <c r="H6" i="15"/>
  <c r="H5" i="15"/>
  <c r="H4" i="15"/>
  <c r="G19" i="15"/>
  <c r="G18" i="15"/>
  <c r="G17" i="15"/>
  <c r="G16" i="15"/>
  <c r="G15" i="15"/>
  <c r="G9" i="15"/>
  <c r="G8" i="15"/>
  <c r="G7" i="15"/>
  <c r="G6" i="15"/>
  <c r="G5" i="15"/>
  <c r="G4" i="15"/>
  <c r="F19" i="15"/>
  <c r="F18" i="15"/>
  <c r="F17" i="15"/>
  <c r="F16" i="15"/>
  <c r="F15" i="15"/>
  <c r="F9" i="15"/>
  <c r="F8" i="15"/>
  <c r="F7" i="15"/>
  <c r="F6" i="15"/>
  <c r="F5" i="15"/>
  <c r="F4" i="15"/>
  <c r="E19" i="15"/>
  <c r="E18" i="15"/>
  <c r="E17" i="15"/>
  <c r="E16" i="15"/>
  <c r="E15" i="15"/>
  <c r="E9" i="15"/>
  <c r="E8" i="15"/>
  <c r="E7" i="15"/>
  <c r="E6" i="15"/>
  <c r="E5" i="15"/>
  <c r="E4" i="15"/>
  <c r="D19" i="15"/>
  <c r="D18" i="15"/>
  <c r="D17" i="15"/>
  <c r="D16" i="15"/>
  <c r="D15" i="15"/>
  <c r="D9" i="15"/>
  <c r="D8" i="15"/>
  <c r="D7" i="15"/>
  <c r="D6" i="15"/>
  <c r="D5" i="15"/>
  <c r="D4" i="15"/>
  <c r="C19" i="15"/>
  <c r="C18" i="15"/>
  <c r="C17" i="15"/>
  <c r="C16" i="15"/>
  <c r="C15" i="15"/>
  <c r="C9" i="15"/>
  <c r="C8" i="15"/>
  <c r="C7" i="15"/>
  <c r="C6" i="15"/>
  <c r="C5" i="15"/>
  <c r="C4" i="15"/>
  <c r="B8" i="15"/>
  <c r="B7" i="15"/>
  <c r="B6" i="15"/>
  <c r="B5" i="15"/>
  <c r="B4" i="15"/>
  <c r="B45" i="45"/>
  <c r="B37" i="45"/>
  <c r="B36" i="45"/>
  <c r="B35" i="45"/>
  <c r="B34" i="45"/>
  <c r="B31" i="45"/>
  <c r="B30" i="45"/>
  <c r="B14" i="45"/>
  <c r="B45" i="44"/>
  <c r="B37" i="44"/>
  <c r="B36" i="44"/>
  <c r="B35" i="44"/>
  <c r="B34" i="44"/>
  <c r="B31" i="44"/>
  <c r="B30" i="44"/>
  <c r="B14" i="44"/>
  <c r="B45" i="43"/>
  <c r="B37" i="43"/>
  <c r="B36" i="43"/>
  <c r="B35" i="43"/>
  <c r="B34" i="43"/>
  <c r="B31" i="43"/>
  <c r="B30" i="43"/>
  <c r="B14" i="43"/>
  <c r="B45" i="42"/>
  <c r="B37" i="42"/>
  <c r="B36" i="42"/>
  <c r="B35" i="42"/>
  <c r="B34" i="42"/>
  <c r="B31" i="42"/>
  <c r="B30" i="42"/>
  <c r="B14" i="42"/>
  <c r="B45" i="41"/>
  <c r="B37" i="41"/>
  <c r="B36" i="41"/>
  <c r="B35" i="41"/>
  <c r="B34" i="41"/>
  <c r="B31" i="41"/>
  <c r="B30" i="41"/>
  <c r="B14" i="41"/>
  <c r="B45" i="40"/>
  <c r="B37" i="40"/>
  <c r="B36" i="40"/>
  <c r="B35" i="40"/>
  <c r="B34" i="40"/>
  <c r="B31" i="40"/>
  <c r="B30" i="40"/>
  <c r="B14" i="40"/>
  <c r="B45" i="39"/>
  <c r="B37" i="39"/>
  <c r="B36" i="39"/>
  <c r="B35" i="39"/>
  <c r="B34" i="39"/>
  <c r="B31" i="39"/>
  <c r="B30" i="39"/>
  <c r="B14" i="39"/>
  <c r="B45" i="38"/>
  <c r="B37" i="38"/>
  <c r="B36" i="38"/>
  <c r="B35" i="38"/>
  <c r="B34" i="38"/>
  <c r="B31" i="38"/>
  <c r="B30" i="38"/>
  <c r="B14" i="38"/>
  <c r="B45" i="37"/>
  <c r="B37" i="37"/>
  <c r="B36" i="37"/>
  <c r="B35" i="37"/>
  <c r="B34" i="37"/>
  <c r="B31" i="37"/>
  <c r="B30" i="37"/>
  <c r="B14" i="37"/>
  <c r="B27" i="9"/>
  <c r="B28" i="9"/>
  <c r="B29" i="9"/>
  <c r="C29" i="45"/>
  <c r="D28" i="45"/>
  <c r="C28" i="45"/>
  <c r="C27" i="45"/>
  <c r="G20" i="45"/>
  <c r="B20" i="45"/>
  <c r="C20" i="45"/>
  <c r="D20" i="45"/>
  <c r="E20" i="45"/>
  <c r="F20" i="45"/>
  <c r="B18" i="45"/>
  <c r="C18" i="45"/>
  <c r="D18" i="45"/>
  <c r="E18" i="45"/>
  <c r="F18" i="45"/>
  <c r="B13" i="45"/>
  <c r="B12" i="45"/>
  <c r="B11" i="45"/>
  <c r="B10" i="45"/>
  <c r="B9" i="45"/>
  <c r="B8" i="45"/>
  <c r="B7" i="45"/>
  <c r="B6" i="45"/>
  <c r="B5" i="45"/>
  <c r="C29" i="44"/>
  <c r="C28" i="44"/>
  <c r="C27" i="44"/>
  <c r="G20" i="44"/>
  <c r="B20" i="44"/>
  <c r="C20" i="44"/>
  <c r="D20" i="44"/>
  <c r="E20" i="44"/>
  <c r="F20" i="44"/>
  <c r="B18" i="44"/>
  <c r="C18" i="44"/>
  <c r="D18" i="44"/>
  <c r="E18" i="44"/>
  <c r="F18" i="44"/>
  <c r="B13" i="44"/>
  <c r="B12" i="44"/>
  <c r="B11" i="44"/>
  <c r="B10" i="44"/>
  <c r="B9" i="44"/>
  <c r="B8" i="44"/>
  <c r="B7" i="44"/>
  <c r="B6" i="44"/>
  <c r="B5" i="44"/>
  <c r="C29" i="43"/>
  <c r="C28" i="43"/>
  <c r="C27" i="43"/>
  <c r="G20" i="43"/>
  <c r="B20" i="43"/>
  <c r="C20" i="43"/>
  <c r="D20" i="43"/>
  <c r="E20" i="43"/>
  <c r="F20" i="43"/>
  <c r="B18" i="43"/>
  <c r="C18" i="43"/>
  <c r="D18" i="43"/>
  <c r="E18" i="43"/>
  <c r="F18" i="43"/>
  <c r="B13" i="43"/>
  <c r="B12" i="43"/>
  <c r="B11" i="43"/>
  <c r="B10" i="43"/>
  <c r="B9" i="43"/>
  <c r="B8" i="43"/>
  <c r="B7" i="43"/>
  <c r="B6" i="43"/>
  <c r="B5" i="43"/>
  <c r="G20" i="42"/>
  <c r="B20" i="42"/>
  <c r="C20" i="42"/>
  <c r="D20" i="42"/>
  <c r="E20" i="42"/>
  <c r="F20" i="42"/>
  <c r="B13" i="42"/>
  <c r="B12" i="42"/>
  <c r="B11" i="42"/>
  <c r="B10" i="42"/>
  <c r="B9" i="42"/>
  <c r="B8" i="42"/>
  <c r="B7" i="42"/>
  <c r="B6" i="42"/>
  <c r="B5" i="42"/>
  <c r="G20" i="41"/>
  <c r="B20" i="41"/>
  <c r="C20" i="41"/>
  <c r="D20" i="41"/>
  <c r="E20" i="41"/>
  <c r="F20" i="41"/>
  <c r="B13" i="41"/>
  <c r="B12" i="41"/>
  <c r="B11" i="41"/>
  <c r="B10" i="41"/>
  <c r="B9" i="41"/>
  <c r="B8" i="41"/>
  <c r="B7" i="41"/>
  <c r="B6" i="41"/>
  <c r="B5" i="41"/>
  <c r="C29" i="40"/>
  <c r="C28" i="40"/>
  <c r="C27" i="40"/>
  <c r="G20" i="40"/>
  <c r="B20" i="40"/>
  <c r="C20" i="40"/>
  <c r="D20" i="40"/>
  <c r="E20" i="40"/>
  <c r="F20" i="40"/>
  <c r="B18" i="40"/>
  <c r="C18" i="40"/>
  <c r="D18" i="40"/>
  <c r="E18" i="40"/>
  <c r="F18" i="40"/>
  <c r="B13" i="40"/>
  <c r="B12" i="40"/>
  <c r="B11" i="40"/>
  <c r="B10" i="40"/>
  <c r="B9" i="40"/>
  <c r="B8" i="40"/>
  <c r="B7" i="40"/>
  <c r="B6" i="40"/>
  <c r="B5" i="40"/>
  <c r="C29" i="39"/>
  <c r="C28" i="39"/>
  <c r="C27" i="39"/>
  <c r="G20" i="39"/>
  <c r="B20" i="39"/>
  <c r="C20" i="39"/>
  <c r="D20" i="39"/>
  <c r="E20" i="39"/>
  <c r="F20" i="39"/>
  <c r="B18" i="39"/>
  <c r="C18" i="39"/>
  <c r="D18" i="39"/>
  <c r="E18" i="39"/>
  <c r="F18" i="39"/>
  <c r="B13" i="39"/>
  <c r="B12" i="39"/>
  <c r="B11" i="39"/>
  <c r="B10" i="39"/>
  <c r="B9" i="39"/>
  <c r="B8" i="39"/>
  <c r="B7" i="39"/>
  <c r="B6" i="39"/>
  <c r="B5" i="39"/>
  <c r="C29" i="38"/>
  <c r="C28" i="38"/>
  <c r="C27" i="38"/>
  <c r="G20" i="38"/>
  <c r="B20" i="38"/>
  <c r="C20" i="38"/>
  <c r="D20" i="38"/>
  <c r="E20" i="38"/>
  <c r="F20" i="38"/>
  <c r="B18" i="38"/>
  <c r="C18" i="38"/>
  <c r="D18" i="38"/>
  <c r="E18" i="38"/>
  <c r="F18" i="38"/>
  <c r="B13" i="38"/>
  <c r="B12" i="38"/>
  <c r="B11" i="38"/>
  <c r="B10" i="38"/>
  <c r="B9" i="38"/>
  <c r="B8" i="38"/>
  <c r="B7" i="38"/>
  <c r="B6" i="38"/>
  <c r="B5" i="38"/>
  <c r="G20" i="37"/>
  <c r="B20" i="37"/>
  <c r="C20" i="37"/>
  <c r="D20" i="37"/>
  <c r="E20" i="37"/>
  <c r="F20" i="37"/>
  <c r="B13" i="37"/>
  <c r="B12" i="37"/>
  <c r="B11" i="37"/>
  <c r="B10" i="37"/>
  <c r="B9" i="37"/>
  <c r="B8" i="37"/>
  <c r="B7" i="37"/>
  <c r="B6" i="37"/>
  <c r="B5" i="37"/>
  <c r="B10" i="34"/>
  <c r="B9" i="34"/>
  <c r="D23" i="28"/>
  <c r="D24" i="28"/>
  <c r="D25" i="28"/>
  <c r="D26" i="28"/>
  <c r="D27" i="28"/>
  <c r="D28" i="28"/>
  <c r="D29" i="28"/>
  <c r="D30" i="28"/>
  <c r="D31" i="28"/>
  <c r="D32" i="28"/>
  <c r="C32" i="28"/>
  <c r="C31" i="28"/>
  <c r="C30" i="28"/>
  <c r="C29" i="28"/>
  <c r="C28" i="28"/>
  <c r="C27" i="28"/>
  <c r="C26" i="28"/>
  <c r="C25" i="28"/>
  <c r="C24" i="28"/>
  <c r="C23" i="28"/>
  <c r="B11" i="33"/>
  <c r="B10" i="33"/>
  <c r="N17" i="35"/>
  <c r="M17" i="35"/>
  <c r="L17" i="35"/>
  <c r="K17" i="35"/>
  <c r="J17" i="35"/>
  <c r="I17" i="35"/>
  <c r="H17" i="35"/>
  <c r="B17" i="35"/>
  <c r="E8" i="30"/>
  <c r="E3" i="30"/>
  <c r="E4" i="30"/>
  <c r="E5" i="30"/>
  <c r="E6" i="30"/>
  <c r="E7" i="30"/>
  <c r="H67" i="25"/>
  <c r="H68" i="25"/>
  <c r="H69" i="25"/>
  <c r="H70" i="25"/>
  <c r="H71" i="25"/>
  <c r="H72" i="25"/>
  <c r="H73" i="25"/>
  <c r="E67" i="25"/>
  <c r="E68" i="25"/>
  <c r="E69" i="25"/>
  <c r="E70" i="25"/>
  <c r="E71" i="25"/>
  <c r="E72" i="25"/>
  <c r="E73" i="25"/>
  <c r="D71" i="25"/>
  <c r="D72" i="25"/>
  <c r="D73" i="25"/>
  <c r="C71" i="25"/>
  <c r="C72" i="25"/>
  <c r="C73" i="25"/>
  <c r="H60" i="25"/>
  <c r="H61" i="25"/>
  <c r="H62" i="25"/>
  <c r="H63" i="25"/>
  <c r="H64" i="25"/>
  <c r="H65" i="25"/>
  <c r="H66" i="25"/>
  <c r="E60" i="25"/>
  <c r="E61" i="25"/>
  <c r="E62" i="25"/>
  <c r="E63" i="25"/>
  <c r="E64" i="25"/>
  <c r="E65" i="25"/>
  <c r="E66" i="25"/>
  <c r="D64" i="25"/>
  <c r="D65" i="25"/>
  <c r="D66" i="25"/>
  <c r="C64" i="25"/>
  <c r="C65" i="25"/>
  <c r="C66" i="25"/>
  <c r="H53" i="25"/>
  <c r="H54" i="25"/>
  <c r="H55" i="25"/>
  <c r="H56" i="25"/>
  <c r="H57" i="25"/>
  <c r="H58" i="25"/>
  <c r="H59" i="25"/>
  <c r="E53" i="25"/>
  <c r="E54" i="25"/>
  <c r="E55" i="25"/>
  <c r="E56" i="25"/>
  <c r="E57" i="25"/>
  <c r="E58" i="25"/>
  <c r="E59" i="25"/>
  <c r="D57" i="25"/>
  <c r="D58" i="25"/>
  <c r="D59" i="25"/>
  <c r="C57" i="25"/>
  <c r="C58" i="25"/>
  <c r="C59" i="25"/>
  <c r="H46" i="25"/>
  <c r="H47" i="25"/>
  <c r="H48" i="25"/>
  <c r="H49" i="25"/>
  <c r="H50" i="25"/>
  <c r="H51" i="25"/>
  <c r="H52" i="25"/>
  <c r="E46" i="25"/>
  <c r="E47" i="25"/>
  <c r="E48" i="25"/>
  <c r="E49" i="25"/>
  <c r="E50" i="25"/>
  <c r="E51" i="25"/>
  <c r="E52" i="25"/>
  <c r="D50" i="25"/>
  <c r="D51" i="25"/>
  <c r="D52" i="25"/>
  <c r="C50" i="25"/>
  <c r="C51" i="25"/>
  <c r="C52" i="25"/>
  <c r="H39" i="25"/>
  <c r="H40" i="25"/>
  <c r="H41" i="25"/>
  <c r="H42" i="25"/>
  <c r="H43" i="25"/>
  <c r="H44" i="25"/>
  <c r="H45" i="25"/>
  <c r="E39" i="25"/>
  <c r="E40" i="25"/>
  <c r="E41" i="25"/>
  <c r="E42" i="25"/>
  <c r="E43" i="25"/>
  <c r="E44" i="25"/>
  <c r="E45" i="25"/>
  <c r="D43" i="25"/>
  <c r="D44" i="25"/>
  <c r="D45" i="25"/>
  <c r="C43" i="25"/>
  <c r="C44" i="25"/>
  <c r="C45" i="25"/>
  <c r="H32" i="25"/>
  <c r="H33" i="25"/>
  <c r="H34" i="25"/>
  <c r="H35" i="25"/>
  <c r="H36" i="25"/>
  <c r="H37" i="25"/>
  <c r="H38" i="25"/>
  <c r="E32" i="25"/>
  <c r="E33" i="25"/>
  <c r="E34" i="25"/>
  <c r="E35" i="25"/>
  <c r="E36" i="25"/>
  <c r="E37" i="25"/>
  <c r="E38" i="25"/>
  <c r="D36" i="25"/>
  <c r="D37" i="25"/>
  <c r="D38" i="25"/>
  <c r="C36" i="25"/>
  <c r="C37" i="25"/>
  <c r="C38" i="25"/>
  <c r="H25" i="25"/>
  <c r="H26" i="25"/>
  <c r="H27" i="25"/>
  <c r="H28" i="25"/>
  <c r="H29" i="25"/>
  <c r="H30" i="25"/>
  <c r="H31" i="25"/>
  <c r="E25" i="25"/>
  <c r="E26" i="25"/>
  <c r="E27" i="25"/>
  <c r="E28" i="25"/>
  <c r="E29" i="25"/>
  <c r="E30" i="25"/>
  <c r="E31" i="25"/>
  <c r="D29" i="25"/>
  <c r="D30" i="25"/>
  <c r="D31" i="25"/>
  <c r="C29" i="25"/>
  <c r="C30" i="25"/>
  <c r="C31" i="25"/>
  <c r="H18" i="25"/>
  <c r="H19" i="25"/>
  <c r="H20" i="25"/>
  <c r="H21" i="25"/>
  <c r="H22" i="25"/>
  <c r="H23" i="25"/>
  <c r="H24" i="25"/>
  <c r="E18" i="25"/>
  <c r="E19" i="25"/>
  <c r="E20" i="25"/>
  <c r="E21" i="25"/>
  <c r="E22" i="25"/>
  <c r="E23" i="25"/>
  <c r="E24" i="25"/>
  <c r="D22" i="25"/>
  <c r="D23" i="25"/>
  <c r="D24" i="25"/>
  <c r="C22" i="25"/>
  <c r="C23" i="25"/>
  <c r="C24" i="25"/>
  <c r="H11" i="25"/>
  <c r="H12" i="25"/>
  <c r="H13" i="25"/>
  <c r="H14" i="25"/>
  <c r="H15" i="25"/>
  <c r="H16" i="25"/>
  <c r="H17" i="25"/>
  <c r="E11" i="25"/>
  <c r="E12" i="25"/>
  <c r="E13" i="25"/>
  <c r="E14" i="25"/>
  <c r="E15" i="25"/>
  <c r="E16" i="25"/>
  <c r="E17" i="25"/>
  <c r="D15" i="25"/>
  <c r="D16" i="25"/>
  <c r="D17" i="25"/>
  <c r="C15" i="25"/>
  <c r="C16" i="25"/>
  <c r="C17" i="25"/>
  <c r="H4" i="25"/>
  <c r="H5" i="25"/>
  <c r="H6" i="25"/>
  <c r="H7" i="25"/>
  <c r="H8" i="25"/>
  <c r="H9" i="25"/>
  <c r="H10" i="25"/>
  <c r="E4" i="25"/>
  <c r="E5" i="25"/>
  <c r="E6" i="25"/>
  <c r="E7" i="25"/>
  <c r="E8" i="25"/>
  <c r="E9" i="25"/>
  <c r="E10" i="25"/>
  <c r="D8" i="25"/>
  <c r="D9" i="25"/>
  <c r="D10" i="25"/>
  <c r="C8" i="25"/>
  <c r="C9" i="25"/>
  <c r="C10" i="25"/>
  <c r="E4" i="3"/>
  <c r="E5" i="3"/>
  <c r="E6" i="3"/>
  <c r="E7" i="3"/>
  <c r="E8" i="3"/>
  <c r="E9" i="3"/>
  <c r="E10" i="3"/>
  <c r="E11" i="3"/>
  <c r="E12" i="3"/>
  <c r="E13" i="3"/>
  <c r="G4" i="3"/>
  <c r="G5" i="3"/>
  <c r="G6" i="3"/>
  <c r="G7" i="3"/>
  <c r="G8" i="3"/>
  <c r="G9" i="3"/>
  <c r="G10" i="3"/>
  <c r="G11" i="3"/>
  <c r="G12" i="3"/>
  <c r="G13" i="3"/>
  <c r="J9" i="3"/>
  <c r="J8" i="3"/>
  <c r="J6" i="3"/>
  <c r="J4" i="3"/>
  <c r="B8" i="33"/>
  <c r="B7" i="33"/>
  <c r="B6" i="33"/>
  <c r="B5" i="33"/>
  <c r="O20" i="28"/>
  <c r="N20" i="28"/>
  <c r="L20" i="28"/>
  <c r="J20" i="28"/>
  <c r="G20" i="28"/>
  <c r="D20" i="28"/>
  <c r="K20" i="28"/>
  <c r="H20" i="28"/>
  <c r="F20" i="28"/>
  <c r="E20" i="28"/>
  <c r="B20" i="28"/>
  <c r="O19" i="28"/>
  <c r="N19" i="28"/>
  <c r="L19" i="28"/>
  <c r="J19" i="28"/>
  <c r="G19" i="28"/>
  <c r="D19" i="28"/>
  <c r="K19" i="28"/>
  <c r="H19" i="28"/>
  <c r="F19" i="28"/>
  <c r="E19" i="28"/>
  <c r="B19" i="28"/>
  <c r="O18" i="28"/>
  <c r="N18" i="28"/>
  <c r="L18" i="28"/>
  <c r="J18" i="28"/>
  <c r="G18" i="28"/>
  <c r="D18" i="28"/>
  <c r="K18" i="28"/>
  <c r="H18" i="28"/>
  <c r="F18" i="28"/>
  <c r="E18" i="28"/>
  <c r="B18" i="28"/>
  <c r="O17" i="28"/>
  <c r="N17" i="28"/>
  <c r="L17" i="28"/>
  <c r="J17" i="28"/>
  <c r="G17" i="28"/>
  <c r="D17" i="28"/>
  <c r="K17" i="28"/>
  <c r="H17" i="28"/>
  <c r="F17" i="28"/>
  <c r="E17" i="28"/>
  <c r="B17" i="28"/>
  <c r="O16" i="28"/>
  <c r="N16" i="28"/>
  <c r="L16" i="28"/>
  <c r="J16" i="28"/>
  <c r="G16" i="28"/>
  <c r="D16" i="28"/>
  <c r="K16" i="28"/>
  <c r="H16" i="28"/>
  <c r="F16" i="28"/>
  <c r="E16" i="28"/>
  <c r="B16" i="28"/>
  <c r="O15" i="28"/>
  <c r="N15" i="28"/>
  <c r="L15" i="28"/>
  <c r="J15" i="28"/>
  <c r="G15" i="28"/>
  <c r="D15" i="28"/>
  <c r="K15" i="28"/>
  <c r="H15" i="28"/>
  <c r="F15" i="28"/>
  <c r="E15" i="28"/>
  <c r="B15" i="28"/>
  <c r="O14" i="28"/>
  <c r="N14" i="28"/>
  <c r="L14" i="28"/>
  <c r="J14" i="28"/>
  <c r="G14" i="28"/>
  <c r="D14" i="28"/>
  <c r="K14" i="28"/>
  <c r="H14" i="28"/>
  <c r="F14" i="28"/>
  <c r="E14" i="28"/>
  <c r="B14" i="28"/>
  <c r="O13" i="28"/>
  <c r="N13" i="28"/>
  <c r="L13" i="28"/>
  <c r="J13" i="28"/>
  <c r="G13" i="28"/>
  <c r="D13" i="28"/>
  <c r="K13" i="28"/>
  <c r="H13" i="28"/>
  <c r="F13" i="28"/>
  <c r="E13" i="28"/>
  <c r="B13" i="28"/>
  <c r="O12" i="28"/>
  <c r="N12" i="28"/>
  <c r="L12" i="28"/>
  <c r="J12" i="28"/>
  <c r="G12" i="28"/>
  <c r="D12" i="28"/>
  <c r="K12" i="28"/>
  <c r="H12" i="28"/>
  <c r="F12" i="28"/>
  <c r="E12" i="28"/>
  <c r="B12" i="28"/>
  <c r="O11" i="28"/>
  <c r="N11" i="28"/>
  <c r="L11" i="28"/>
  <c r="J11" i="28"/>
  <c r="G11" i="28"/>
  <c r="D11" i="28"/>
  <c r="K11" i="28"/>
  <c r="H11" i="28"/>
  <c r="F11" i="28"/>
  <c r="E11" i="28"/>
  <c r="B11" i="28"/>
  <c r="K70" i="25"/>
  <c r="K69" i="25"/>
  <c r="K68" i="25"/>
  <c r="K67" i="25"/>
  <c r="K66" i="25"/>
  <c r="K65" i="25"/>
  <c r="K64" i="25"/>
  <c r="K63" i="25"/>
  <c r="K62" i="25"/>
  <c r="K61" i="25"/>
  <c r="K60" i="25"/>
  <c r="K56" i="25"/>
  <c r="K55" i="25"/>
  <c r="K54" i="25"/>
  <c r="K53" i="25"/>
  <c r="K52" i="25"/>
  <c r="K51" i="25"/>
  <c r="K50" i="25"/>
  <c r="K49" i="25"/>
  <c r="K48" i="25"/>
  <c r="K47" i="25"/>
  <c r="K46" i="25"/>
  <c r="K45" i="25"/>
  <c r="K44" i="25"/>
  <c r="K43" i="25"/>
  <c r="K42" i="25"/>
  <c r="K41" i="25"/>
  <c r="K40" i="25"/>
  <c r="K39" i="25"/>
  <c r="K38" i="25"/>
  <c r="K37" i="25"/>
  <c r="K36" i="25"/>
  <c r="K35" i="25"/>
  <c r="K34" i="25"/>
  <c r="K33" i="25"/>
  <c r="K32" i="25"/>
  <c r="K31" i="25"/>
  <c r="K30" i="25"/>
  <c r="K29" i="25"/>
  <c r="K28" i="25"/>
  <c r="K27" i="25"/>
  <c r="K26" i="25"/>
  <c r="K25" i="25"/>
  <c r="K24" i="25"/>
  <c r="K23" i="25"/>
  <c r="K22" i="25"/>
  <c r="K21" i="25"/>
  <c r="K20" i="25"/>
  <c r="K19" i="25"/>
  <c r="K18" i="25"/>
  <c r="K14" i="25"/>
  <c r="K13" i="25"/>
  <c r="K12" i="25"/>
  <c r="K11" i="25"/>
  <c r="K9" i="25"/>
  <c r="K8" i="25"/>
  <c r="K7" i="25"/>
  <c r="K6" i="25"/>
  <c r="K5" i="25"/>
  <c r="K4" i="25"/>
  <c r="K11" i="15"/>
  <c r="J11" i="15"/>
  <c r="I11" i="15"/>
  <c r="H11" i="15"/>
  <c r="G11" i="15"/>
  <c r="F11" i="15"/>
  <c r="E11" i="15"/>
  <c r="D11" i="15"/>
  <c r="C11" i="15"/>
  <c r="B11" i="15"/>
  <c r="B4" i="32"/>
  <c r="C14" i="8"/>
  <c r="C13" i="8"/>
  <c r="C12" i="8"/>
  <c r="C11" i="8"/>
  <c r="C10" i="8"/>
  <c r="C9" i="8"/>
  <c r="C8" i="8"/>
  <c r="C7" i="8"/>
  <c r="C6" i="8"/>
  <c r="C5" i="8"/>
  <c r="C4" i="8"/>
  <c r="B4" i="8" a="1"/>
  <c r="B4" i="8"/>
  <c r="B5" i="8" a="1"/>
  <c r="B5" i="8" s="1"/>
  <c r="B6" i="8" a="1"/>
  <c r="B6" i="8"/>
  <c r="B7" i="8" a="1"/>
  <c r="B7" i="8" s="1"/>
  <c r="B8" i="8" a="1"/>
  <c r="B8" i="8" s="1"/>
  <c r="B9" i="8" a="1"/>
  <c r="B10" i="8" a="1"/>
  <c r="B11" i="8" a="1"/>
  <c r="B12" i="8" a="1"/>
  <c r="B13" i="8" a="1"/>
  <c r="B13" i="8" s="1"/>
  <c r="B14" i="8" a="1"/>
  <c r="B21" i="7"/>
  <c r="B20" i="7"/>
  <c r="B19" i="7"/>
  <c r="B15" i="7"/>
  <c r="B8" i="7"/>
  <c r="L13" i="35"/>
  <c r="K13" i="35"/>
  <c r="J13" i="35"/>
  <c r="I13" i="35"/>
  <c r="L12" i="35"/>
  <c r="K12" i="35"/>
  <c r="J12" i="35"/>
  <c r="I12" i="35"/>
  <c r="L11" i="35"/>
  <c r="K11" i="35"/>
  <c r="J11" i="35"/>
  <c r="I11" i="35"/>
  <c r="L10" i="35"/>
  <c r="K10" i="35"/>
  <c r="J10" i="35"/>
  <c r="I10" i="35"/>
  <c r="L9" i="35"/>
  <c r="K9" i="35"/>
  <c r="J9" i="35"/>
  <c r="I9" i="35"/>
  <c r="L8" i="35"/>
  <c r="K8" i="35"/>
  <c r="J8" i="35"/>
  <c r="I8" i="35"/>
  <c r="L7" i="35"/>
  <c r="K7" i="35"/>
  <c r="J7" i="35"/>
  <c r="I7" i="35"/>
  <c r="M6" i="35"/>
  <c r="L6" i="35"/>
  <c r="K6" i="35"/>
  <c r="J6" i="35"/>
  <c r="I6" i="35"/>
  <c r="L5" i="35"/>
  <c r="K5" i="35"/>
  <c r="J5" i="35"/>
  <c r="I5" i="35"/>
  <c r="L4" i="35"/>
  <c r="K4" i="35"/>
  <c r="J4" i="35"/>
  <c r="I4" i="35"/>
  <c r="B18" i="9"/>
  <c r="Q18" i="35"/>
  <c r="Q17" i="35"/>
  <c r="P18" i="35"/>
  <c r="P17" i="35"/>
  <c r="O18" i="35"/>
  <c r="O17" i="35"/>
  <c r="G15" i="35"/>
  <c r="G14" i="35"/>
  <c r="G13" i="35"/>
  <c r="G12" i="35"/>
  <c r="G11" i="35"/>
  <c r="G10" i="35"/>
  <c r="G9" i="35"/>
  <c r="G8" i="35"/>
  <c r="G7" i="35"/>
  <c r="G6" i="35"/>
  <c r="G5" i="35"/>
  <c r="G4" i="35"/>
  <c r="B87" i="26"/>
  <c r="B88" i="26"/>
  <c r="B89" i="26"/>
  <c r="A85" i="26"/>
  <c r="B85" i="26"/>
  <c r="C85" i="26"/>
  <c r="D85" i="26"/>
  <c r="A84" i="26"/>
  <c r="B84" i="26"/>
  <c r="C84" i="26"/>
  <c r="D84" i="26"/>
  <c r="A83" i="26"/>
  <c r="B83" i="26"/>
  <c r="C83" i="26"/>
  <c r="D83" i="26"/>
  <c r="A82" i="26"/>
  <c r="B82" i="26"/>
  <c r="C82" i="26"/>
  <c r="D82" i="26"/>
  <c r="A81" i="26"/>
  <c r="B81" i="26"/>
  <c r="C81" i="26"/>
  <c r="A80" i="26"/>
  <c r="B80" i="26"/>
  <c r="C80" i="26"/>
  <c r="A79" i="26"/>
  <c r="B79" i="26"/>
  <c r="C79" i="26"/>
  <c r="D79" i="26"/>
  <c r="A78" i="26"/>
  <c r="B78" i="26"/>
  <c r="C78" i="26"/>
  <c r="D78" i="26"/>
  <c r="A77" i="26"/>
  <c r="B77" i="26"/>
  <c r="C77" i="26"/>
  <c r="A76" i="26"/>
  <c r="B76" i="26"/>
  <c r="C76" i="26"/>
  <c r="M73" i="26"/>
  <c r="A73" i="26"/>
  <c r="B73" i="26"/>
  <c r="F73" i="26"/>
  <c r="I73" i="26"/>
  <c r="M72" i="26"/>
  <c r="A72" i="26"/>
  <c r="B72" i="26"/>
  <c r="F72" i="26"/>
  <c r="I72" i="26"/>
  <c r="M71" i="26"/>
  <c r="A71" i="26"/>
  <c r="B71" i="26"/>
  <c r="F71" i="26"/>
  <c r="I71" i="26"/>
  <c r="M70" i="26"/>
  <c r="A70" i="26"/>
  <c r="B70" i="26"/>
  <c r="C70" i="26"/>
  <c r="D70" i="26"/>
  <c r="F70" i="26"/>
  <c r="I70" i="26"/>
  <c r="M69" i="26"/>
  <c r="A69" i="26"/>
  <c r="B69" i="26"/>
  <c r="C69" i="26"/>
  <c r="D69" i="26"/>
  <c r="F69" i="26"/>
  <c r="I69" i="26"/>
  <c r="M68" i="26"/>
  <c r="A68" i="26"/>
  <c r="B68" i="26"/>
  <c r="C68" i="26"/>
  <c r="D68" i="26"/>
  <c r="F68" i="26"/>
  <c r="I68" i="26"/>
  <c r="M67" i="26"/>
  <c r="A67" i="26"/>
  <c r="B67" i="26"/>
  <c r="C67" i="26"/>
  <c r="D67" i="26"/>
  <c r="F67" i="26"/>
  <c r="I67" i="26"/>
  <c r="M66" i="26"/>
  <c r="A66" i="26"/>
  <c r="B66" i="26"/>
  <c r="F66" i="26"/>
  <c r="I66" i="26"/>
  <c r="M65" i="26"/>
  <c r="A65" i="26"/>
  <c r="B65" i="26"/>
  <c r="F65" i="26"/>
  <c r="I65" i="26"/>
  <c r="M64" i="26"/>
  <c r="A64" i="26"/>
  <c r="B64" i="26"/>
  <c r="F64" i="26"/>
  <c r="I64" i="26"/>
  <c r="M63" i="26"/>
  <c r="A63" i="26"/>
  <c r="B63" i="26"/>
  <c r="C63" i="26"/>
  <c r="D63" i="26"/>
  <c r="F63" i="26"/>
  <c r="I63" i="26"/>
  <c r="M62" i="26"/>
  <c r="A62" i="26"/>
  <c r="B62" i="26"/>
  <c r="C62" i="26"/>
  <c r="D62" i="26"/>
  <c r="F62" i="26"/>
  <c r="I62" i="26"/>
  <c r="M61" i="26"/>
  <c r="A61" i="26"/>
  <c r="B61" i="26"/>
  <c r="C61" i="26"/>
  <c r="D61" i="26"/>
  <c r="F61" i="26"/>
  <c r="I61" i="26"/>
  <c r="M60" i="26"/>
  <c r="A60" i="26"/>
  <c r="B60" i="26"/>
  <c r="C60" i="26"/>
  <c r="D60" i="26"/>
  <c r="F60" i="26"/>
  <c r="I60" i="26"/>
  <c r="M59" i="26"/>
  <c r="A59" i="26"/>
  <c r="B59" i="26"/>
  <c r="F59" i="26"/>
  <c r="I59" i="26"/>
  <c r="M58" i="26"/>
  <c r="A58" i="26"/>
  <c r="B58" i="26"/>
  <c r="F58" i="26"/>
  <c r="I58" i="26"/>
  <c r="M57" i="26"/>
  <c r="A57" i="26"/>
  <c r="B57" i="26"/>
  <c r="F57" i="26"/>
  <c r="I57" i="26"/>
  <c r="M56" i="26"/>
  <c r="A56" i="26"/>
  <c r="B56" i="26"/>
  <c r="C56" i="26"/>
  <c r="D56" i="26"/>
  <c r="F56" i="26"/>
  <c r="I56" i="26"/>
  <c r="M55" i="26"/>
  <c r="A55" i="26"/>
  <c r="B55" i="26"/>
  <c r="C55" i="26"/>
  <c r="D55" i="26"/>
  <c r="F55" i="26"/>
  <c r="I55" i="26"/>
  <c r="M54" i="26"/>
  <c r="A54" i="26"/>
  <c r="B54" i="26"/>
  <c r="C54" i="26"/>
  <c r="D54" i="26"/>
  <c r="F54" i="26"/>
  <c r="I54" i="26"/>
  <c r="M53" i="26"/>
  <c r="A53" i="26"/>
  <c r="B53" i="26"/>
  <c r="C53" i="26"/>
  <c r="D53" i="26"/>
  <c r="F53" i="26"/>
  <c r="I53" i="26"/>
  <c r="M52" i="26"/>
  <c r="A52" i="26"/>
  <c r="B52" i="26"/>
  <c r="F52" i="26"/>
  <c r="I52" i="26"/>
  <c r="M51" i="26"/>
  <c r="A51" i="26"/>
  <c r="B51" i="26"/>
  <c r="F51" i="26"/>
  <c r="I51" i="26"/>
  <c r="M50" i="26"/>
  <c r="A50" i="26"/>
  <c r="B50" i="26"/>
  <c r="F50" i="26"/>
  <c r="I50" i="26"/>
  <c r="M49" i="26"/>
  <c r="A49" i="26"/>
  <c r="B49" i="26"/>
  <c r="C49" i="26"/>
  <c r="D49" i="26"/>
  <c r="F49" i="26"/>
  <c r="I49" i="26"/>
  <c r="M48" i="26"/>
  <c r="A48" i="26"/>
  <c r="B48" i="26"/>
  <c r="C48" i="26"/>
  <c r="D48" i="26"/>
  <c r="F48" i="26"/>
  <c r="I48" i="26"/>
  <c r="M47" i="26"/>
  <c r="A47" i="26"/>
  <c r="B47" i="26"/>
  <c r="C47" i="26"/>
  <c r="D47" i="26"/>
  <c r="F47" i="26"/>
  <c r="I47" i="26"/>
  <c r="M46" i="26"/>
  <c r="A46" i="26"/>
  <c r="B46" i="26"/>
  <c r="C46" i="26"/>
  <c r="D46" i="26"/>
  <c r="F46" i="26"/>
  <c r="I46" i="26"/>
  <c r="M45" i="26"/>
  <c r="A45" i="26"/>
  <c r="B45" i="26"/>
  <c r="F45" i="26"/>
  <c r="I45" i="26"/>
  <c r="M44" i="26"/>
  <c r="A44" i="26"/>
  <c r="B44" i="26"/>
  <c r="F44" i="26"/>
  <c r="I44" i="26"/>
  <c r="M43" i="26"/>
  <c r="A43" i="26"/>
  <c r="B43" i="26"/>
  <c r="F43" i="26"/>
  <c r="I43" i="26"/>
  <c r="M42" i="26"/>
  <c r="A42" i="26"/>
  <c r="B42" i="26"/>
  <c r="C42" i="26"/>
  <c r="D42" i="26"/>
  <c r="F42" i="26"/>
  <c r="I42" i="26"/>
  <c r="M41" i="26"/>
  <c r="A41" i="26"/>
  <c r="B41" i="26"/>
  <c r="C41" i="26"/>
  <c r="D41" i="26"/>
  <c r="F41" i="26"/>
  <c r="I41" i="26"/>
  <c r="M40" i="26"/>
  <c r="A40" i="26"/>
  <c r="B40" i="26"/>
  <c r="C40" i="26"/>
  <c r="D40" i="26"/>
  <c r="F40" i="26"/>
  <c r="I40" i="26"/>
  <c r="M39" i="26"/>
  <c r="A39" i="26"/>
  <c r="B39" i="26"/>
  <c r="C39" i="26"/>
  <c r="D39" i="26"/>
  <c r="F39" i="26"/>
  <c r="I39" i="26"/>
  <c r="M38" i="26"/>
  <c r="A38" i="26"/>
  <c r="B38" i="26"/>
  <c r="F38" i="26"/>
  <c r="I38" i="26"/>
  <c r="M37" i="26"/>
  <c r="A37" i="26"/>
  <c r="B37" i="26"/>
  <c r="F37" i="26"/>
  <c r="I37" i="26"/>
  <c r="M36" i="26"/>
  <c r="A36" i="26"/>
  <c r="B36" i="26"/>
  <c r="F36" i="26"/>
  <c r="I36" i="26"/>
  <c r="M35" i="26"/>
  <c r="A35" i="26"/>
  <c r="B35" i="26"/>
  <c r="C35" i="26"/>
  <c r="D35" i="26"/>
  <c r="F35" i="26"/>
  <c r="I35" i="26"/>
  <c r="M34" i="26"/>
  <c r="A34" i="26"/>
  <c r="B34" i="26"/>
  <c r="C34" i="26"/>
  <c r="D34" i="26"/>
  <c r="F34" i="26"/>
  <c r="I34" i="26"/>
  <c r="M33" i="26"/>
  <c r="A33" i="26"/>
  <c r="B33" i="26"/>
  <c r="C33" i="26"/>
  <c r="D33" i="26"/>
  <c r="F33" i="26"/>
  <c r="I33" i="26"/>
  <c r="M32" i="26"/>
  <c r="A32" i="26"/>
  <c r="B32" i="26"/>
  <c r="C32" i="26"/>
  <c r="D32" i="26"/>
  <c r="F32" i="26"/>
  <c r="I32" i="26"/>
  <c r="M31" i="26"/>
  <c r="A31" i="26"/>
  <c r="B31" i="26"/>
  <c r="F31" i="26"/>
  <c r="I31" i="26"/>
  <c r="M30" i="26"/>
  <c r="A30" i="26"/>
  <c r="B30" i="26"/>
  <c r="F30" i="26"/>
  <c r="I30" i="26"/>
  <c r="M29" i="26"/>
  <c r="A29" i="26"/>
  <c r="B29" i="26"/>
  <c r="F29" i="26"/>
  <c r="I29" i="26"/>
  <c r="M28" i="26"/>
  <c r="A28" i="26"/>
  <c r="B28" i="26"/>
  <c r="C28" i="26"/>
  <c r="D28" i="26"/>
  <c r="F28" i="26"/>
  <c r="I28" i="26"/>
  <c r="M27" i="26"/>
  <c r="A27" i="26"/>
  <c r="B27" i="26"/>
  <c r="C27" i="26"/>
  <c r="D27" i="26"/>
  <c r="F27" i="26"/>
  <c r="I27" i="26"/>
  <c r="M26" i="26"/>
  <c r="A26" i="26"/>
  <c r="B26" i="26"/>
  <c r="C26" i="26"/>
  <c r="D26" i="26"/>
  <c r="F26" i="26"/>
  <c r="I26" i="26"/>
  <c r="M25" i="26"/>
  <c r="A25" i="26"/>
  <c r="B25" i="26"/>
  <c r="C25" i="26"/>
  <c r="D25" i="26"/>
  <c r="F25" i="26"/>
  <c r="I25" i="26"/>
  <c r="M24" i="26"/>
  <c r="A24" i="26"/>
  <c r="B24" i="26"/>
  <c r="F24" i="26"/>
  <c r="I24" i="26"/>
  <c r="M23" i="26"/>
  <c r="A23" i="26"/>
  <c r="B23" i="26"/>
  <c r="F23" i="26"/>
  <c r="I23" i="26"/>
  <c r="M22" i="26"/>
  <c r="A22" i="26"/>
  <c r="B22" i="26"/>
  <c r="F22" i="26"/>
  <c r="I22" i="26"/>
  <c r="M21" i="26"/>
  <c r="A21" i="26"/>
  <c r="B21" i="26"/>
  <c r="C21" i="26"/>
  <c r="D21" i="26"/>
  <c r="F21" i="26"/>
  <c r="I21" i="26"/>
  <c r="M20" i="26"/>
  <c r="A20" i="26"/>
  <c r="B20" i="26"/>
  <c r="C20" i="26"/>
  <c r="D20" i="26"/>
  <c r="F20" i="26"/>
  <c r="I20" i="26"/>
  <c r="M19" i="26"/>
  <c r="A19" i="26"/>
  <c r="B19" i="26"/>
  <c r="C19" i="26"/>
  <c r="D19" i="26"/>
  <c r="F19" i="26"/>
  <c r="I19" i="26"/>
  <c r="M18" i="26"/>
  <c r="A18" i="26"/>
  <c r="B18" i="26"/>
  <c r="C18" i="26"/>
  <c r="D18" i="26"/>
  <c r="F18" i="26"/>
  <c r="I18" i="26"/>
  <c r="M17" i="26"/>
  <c r="A17" i="26"/>
  <c r="B17" i="26"/>
  <c r="F17" i="26"/>
  <c r="I17" i="26"/>
  <c r="M16" i="26"/>
  <c r="A16" i="26"/>
  <c r="B16" i="26"/>
  <c r="F16" i="26"/>
  <c r="I16" i="26"/>
  <c r="M15" i="26"/>
  <c r="A15" i="26"/>
  <c r="B15" i="26"/>
  <c r="F15" i="26"/>
  <c r="I15" i="26"/>
  <c r="M14" i="26"/>
  <c r="A14" i="26"/>
  <c r="B14" i="26"/>
  <c r="C14" i="26"/>
  <c r="D14" i="26"/>
  <c r="F14" i="26"/>
  <c r="I14" i="26"/>
  <c r="M13" i="26"/>
  <c r="A13" i="26"/>
  <c r="B13" i="26"/>
  <c r="C13" i="26"/>
  <c r="D13" i="26"/>
  <c r="F13" i="26"/>
  <c r="I13" i="26"/>
  <c r="M12" i="26"/>
  <c r="A12" i="26"/>
  <c r="B12" i="26"/>
  <c r="C12" i="26"/>
  <c r="D12" i="26"/>
  <c r="F12" i="26"/>
  <c r="I12" i="26"/>
  <c r="M11" i="26"/>
  <c r="A11" i="26"/>
  <c r="B11" i="26"/>
  <c r="C11" i="26"/>
  <c r="D11" i="26"/>
  <c r="F11" i="26"/>
  <c r="I11" i="26"/>
  <c r="M10" i="26"/>
  <c r="A10" i="26"/>
  <c r="B10" i="26"/>
  <c r="F10" i="26"/>
  <c r="I10" i="26"/>
  <c r="M9" i="26"/>
  <c r="A9" i="26"/>
  <c r="B9" i="26"/>
  <c r="F9" i="26"/>
  <c r="I9" i="26"/>
  <c r="M8" i="26"/>
  <c r="A8" i="26"/>
  <c r="B8" i="26"/>
  <c r="F8" i="26"/>
  <c r="I8" i="26"/>
  <c r="M7" i="26"/>
  <c r="A7" i="26"/>
  <c r="B7" i="26"/>
  <c r="C7" i="26"/>
  <c r="D7" i="26"/>
  <c r="F7" i="26"/>
  <c r="I7" i="26"/>
  <c r="M6" i="26"/>
  <c r="A6" i="26"/>
  <c r="B6" i="26"/>
  <c r="C6" i="26"/>
  <c r="D6" i="26"/>
  <c r="F6" i="26"/>
  <c r="I6" i="26"/>
  <c r="M5" i="26"/>
  <c r="A5" i="26"/>
  <c r="B5" i="26"/>
  <c r="C5" i="26"/>
  <c r="D5" i="26"/>
  <c r="F5" i="26"/>
  <c r="I5" i="26"/>
  <c r="M4" i="26"/>
  <c r="A4" i="26"/>
  <c r="B4" i="26"/>
  <c r="C4" i="26"/>
  <c r="D4" i="26"/>
  <c r="F4" i="26"/>
  <c r="I4" i="26"/>
  <c r="C7" i="31"/>
  <c r="C4" i="31"/>
  <c r="B11" i="29"/>
  <c r="D9" i="29"/>
  <c r="D8" i="29"/>
  <c r="D7" i="29"/>
  <c r="D6" i="29"/>
  <c r="D5" i="29"/>
  <c r="D4" i="29"/>
  <c r="F15" i="35"/>
  <c r="F14" i="35"/>
  <c r="F13" i="35"/>
  <c r="F12" i="35"/>
  <c r="F11" i="35"/>
  <c r="F10" i="35"/>
  <c r="F9" i="35"/>
  <c r="F8" i="35"/>
  <c r="F7" i="35"/>
  <c r="F6" i="35"/>
  <c r="F5" i="35"/>
  <c r="F4" i="35"/>
  <c r="F94" i="26" a="1"/>
  <c r="E94" i="26" a="1"/>
  <c r="D94" i="26" a="1"/>
  <c r="B94" i="26"/>
  <c r="F93" i="26" a="1"/>
  <c r="E93" i="26" a="1"/>
  <c r="D93" i="26" a="1"/>
  <c r="B93" i="26"/>
  <c r="F92" i="26" a="1"/>
  <c r="E92" i="26" a="1"/>
  <c r="D92" i="26" a="1"/>
  <c r="B92" i="26"/>
  <c r="F91" i="26" a="1"/>
  <c r="E91" i="26" a="1"/>
  <c r="D91" i="26" a="1"/>
  <c r="B91" i="26"/>
  <c r="F90" i="26" a="1"/>
  <c r="E90" i="26" a="1"/>
  <c r="D90" i="26" a="1"/>
  <c r="B90" i="26"/>
  <c r="F89" i="26" a="1"/>
  <c r="E89" i="26" a="1"/>
  <c r="D89" i="26" a="1"/>
  <c r="F88" i="26" a="1"/>
  <c r="E88" i="26" a="1"/>
  <c r="D88" i="26" a="1"/>
  <c r="F87" i="26" a="1"/>
  <c r="E87" i="26" a="1"/>
  <c r="D87" i="26" a="1"/>
  <c r="F86" i="26" a="1"/>
  <c r="E86" i="26" a="1"/>
  <c r="D86" i="26" a="1"/>
  <c r="M13" i="27"/>
  <c r="M12" i="27"/>
  <c r="M11" i="27"/>
  <c r="M10" i="27"/>
  <c r="M9" i="27"/>
  <c r="M8" i="27"/>
  <c r="M7" i="27"/>
  <c r="M6" i="27"/>
  <c r="M5" i="27"/>
  <c r="M4" i="27"/>
  <c r="B8" i="17"/>
  <c r="B7" i="17"/>
  <c r="B6" i="17"/>
  <c r="B5" i="17"/>
  <c r="B4" i="17"/>
  <c r="A59" i="10" a="1"/>
  <c r="B58" i="10"/>
  <c r="A58" i="10" a="1"/>
  <c r="A57" i="10" a="1"/>
  <c r="B48" i="10"/>
  <c r="B5" i="10"/>
  <c r="B12" i="16"/>
  <c r="B7" i="16"/>
  <c r="B6" i="16"/>
  <c r="B5" i="16"/>
  <c r="B4" i="16"/>
  <c r="C24" i="17"/>
  <c r="C25" i="17"/>
  <c r="C26" i="17"/>
  <c r="B12" i="17"/>
  <c r="B39" i="14"/>
  <c r="C32" i="14"/>
  <c r="B32" i="14"/>
  <c r="C25" i="14"/>
  <c r="B17" i="14"/>
  <c r="B9" i="14"/>
  <c r="B38" i="13"/>
  <c r="B37" i="13"/>
  <c r="B36" i="13"/>
  <c r="B35" i="13"/>
  <c r="B34" i="13"/>
  <c r="D19" i="13"/>
  <c r="D20" i="13"/>
  <c r="D21" i="13"/>
  <c r="D22" i="13"/>
  <c r="D12" i="13"/>
  <c r="D13" i="13"/>
  <c r="D14" i="13"/>
  <c r="D15" i="13"/>
  <c r="D5" i="13"/>
  <c r="D6" i="13"/>
  <c r="D7" i="13"/>
  <c r="D8" i="13"/>
  <c r="C27" i="11"/>
  <c r="C26" i="11"/>
  <c r="C25" i="11"/>
  <c r="C22" i="11"/>
  <c r="B18" i="11"/>
  <c r="C18" i="11"/>
  <c r="D18" i="11"/>
  <c r="E18" i="11"/>
  <c r="F18" i="11"/>
  <c r="B17" i="11"/>
  <c r="C17" i="11"/>
  <c r="D17" i="11"/>
  <c r="E17" i="11"/>
  <c r="F17" i="11"/>
  <c r="B14" i="11"/>
  <c r="C14" i="11"/>
  <c r="D14" i="11"/>
  <c r="E14" i="11"/>
  <c r="F14" i="11"/>
  <c r="B10" i="11"/>
  <c r="C10" i="11"/>
  <c r="D10" i="11"/>
  <c r="E10" i="11"/>
  <c r="F10" i="11"/>
  <c r="B6" i="11"/>
  <c r="C6" i="11"/>
  <c r="D6" i="11"/>
  <c r="E6" i="11"/>
  <c r="F6" i="11"/>
  <c r="B5" i="9" l="1"/>
  <c r="B7" i="9"/>
  <c r="B8" i="9"/>
  <c r="B9" i="9"/>
  <c r="B10" i="9"/>
  <c r="B11" i="9"/>
  <c r="B6" i="9"/>
  <c r="C28" i="36"/>
  <c r="D28" i="36" s="1"/>
  <c r="B12" i="36"/>
  <c r="B18" i="36"/>
  <c r="C18" i="36"/>
  <c r="D18" i="36"/>
  <c r="E18" i="36"/>
  <c r="F18" i="36"/>
  <c r="C27" i="36"/>
  <c r="D27" i="36" s="1"/>
  <c r="C29" i="36"/>
  <c r="D29" i="36" s="1"/>
  <c r="B19" i="15"/>
  <c r="L19" i="15" s="1"/>
  <c r="B18" i="15"/>
  <c r="L18" i="15" s="1"/>
  <c r="B17" i="15"/>
  <c r="L17" i="15" s="1"/>
  <c r="B16" i="15"/>
  <c r="L16" i="15" s="1"/>
  <c r="B15" i="15"/>
  <c r="L15" i="15" s="1"/>
  <c r="B12" i="9"/>
  <c r="D29" i="45"/>
  <c r="D21" i="45"/>
  <c r="F21" i="45"/>
  <c r="D43" i="45"/>
  <c r="C43" i="45"/>
  <c r="B43" i="45"/>
  <c r="D42" i="45"/>
  <c r="B42" i="45"/>
  <c r="D41" i="45"/>
  <c r="C41" i="45"/>
  <c r="B41" i="45"/>
  <c r="D27" i="45"/>
  <c r="B21" i="45"/>
  <c r="C21" i="45"/>
  <c r="E21" i="45"/>
  <c r="G19" i="45"/>
  <c r="G21" i="45" s="1"/>
  <c r="D27" i="44"/>
  <c r="E21" i="44"/>
  <c r="G19" i="44"/>
  <c r="G21" i="44" s="1"/>
  <c r="D29" i="44"/>
  <c r="D28" i="44"/>
  <c r="B21" i="44"/>
  <c r="C21" i="44"/>
  <c r="D21" i="44"/>
  <c r="F21" i="44"/>
  <c r="D43" i="44"/>
  <c r="C43" i="44"/>
  <c r="B43" i="44"/>
  <c r="D42" i="44"/>
  <c r="B42" i="44"/>
  <c r="D41" i="44"/>
  <c r="C41" i="44"/>
  <c r="B41" i="44"/>
  <c r="D43" i="43"/>
  <c r="C43" i="43"/>
  <c r="B43" i="43"/>
  <c r="D42" i="43"/>
  <c r="B42" i="43"/>
  <c r="D41" i="43"/>
  <c r="C41" i="43"/>
  <c r="B41" i="43"/>
  <c r="D29" i="43"/>
  <c r="D27" i="43"/>
  <c r="B21" i="43"/>
  <c r="E21" i="43"/>
  <c r="F21" i="43"/>
  <c r="D28" i="43"/>
  <c r="C21" i="43"/>
  <c r="D21" i="43"/>
  <c r="G19" i="43"/>
  <c r="G21" i="43" s="1"/>
  <c r="B18" i="42"/>
  <c r="C29" i="42"/>
  <c r="D29" i="42" s="1"/>
  <c r="C28" i="42"/>
  <c r="D28" i="42" s="1"/>
  <c r="C27" i="42"/>
  <c r="D27" i="42" s="1"/>
  <c r="C18" i="42"/>
  <c r="D18" i="42"/>
  <c r="E18" i="42"/>
  <c r="F18" i="42"/>
  <c r="C29" i="41"/>
  <c r="D29" i="41" s="1"/>
  <c r="C28" i="41"/>
  <c r="D28" i="41" s="1"/>
  <c r="C27" i="41"/>
  <c r="D27" i="41" s="1"/>
  <c r="B18" i="41"/>
  <c r="C18" i="41"/>
  <c r="D18" i="41"/>
  <c r="E18" i="41"/>
  <c r="F18" i="41"/>
  <c r="B21" i="40"/>
  <c r="E21" i="40"/>
  <c r="G19" i="40"/>
  <c r="G21" i="40" s="1"/>
  <c r="D29" i="40"/>
  <c r="D43" i="40"/>
  <c r="C43" i="40"/>
  <c r="B43" i="40"/>
  <c r="D42" i="40"/>
  <c r="B42" i="40"/>
  <c r="D41" i="40"/>
  <c r="C41" i="40"/>
  <c r="B41" i="40"/>
  <c r="D28" i="40"/>
  <c r="D27" i="40"/>
  <c r="C21" i="40"/>
  <c r="D21" i="40"/>
  <c r="F21" i="40"/>
  <c r="D28" i="39"/>
  <c r="B21" i="39"/>
  <c r="C21" i="39"/>
  <c r="D21" i="39"/>
  <c r="E21" i="39"/>
  <c r="G19" i="39"/>
  <c r="G21" i="39" s="1"/>
  <c r="C41" i="39"/>
  <c r="D29" i="39"/>
  <c r="D43" i="39"/>
  <c r="C43" i="39"/>
  <c r="B43" i="39"/>
  <c r="D42" i="39"/>
  <c r="B42" i="39"/>
  <c r="D41" i="39"/>
  <c r="B41" i="39"/>
  <c r="F21" i="39"/>
  <c r="D27" i="39"/>
  <c r="D29" i="38"/>
  <c r="D28" i="38"/>
  <c r="D27" i="38"/>
  <c r="B21" i="38"/>
  <c r="C21" i="38"/>
  <c r="D21" i="38"/>
  <c r="E21" i="38"/>
  <c r="F21" i="38"/>
  <c r="B42" i="38"/>
  <c r="G19" i="38"/>
  <c r="G21" i="38" s="1"/>
  <c r="D43" i="38"/>
  <c r="C43" i="38"/>
  <c r="B43" i="38"/>
  <c r="D42" i="38"/>
  <c r="D41" i="38"/>
  <c r="C41" i="38"/>
  <c r="B41" i="38"/>
  <c r="C18" i="37"/>
  <c r="F18" i="37"/>
  <c r="C29" i="37"/>
  <c r="D29" i="37" s="1"/>
  <c r="C28" i="37"/>
  <c r="D28" i="37" s="1"/>
  <c r="C27" i="37"/>
  <c r="D27" i="37" s="1"/>
  <c r="B18" i="37"/>
  <c r="D18" i="37"/>
  <c r="E18" i="37"/>
  <c r="K73" i="25"/>
  <c r="K72" i="25"/>
  <c r="K71" i="25"/>
  <c r="K59" i="25"/>
  <c r="K58" i="25"/>
  <c r="K57" i="25"/>
  <c r="K17" i="25"/>
  <c r="K16" i="25"/>
  <c r="K15" i="25"/>
  <c r="K10" i="25"/>
  <c r="B10" i="15"/>
  <c r="F92" i="26"/>
  <c r="F91" i="26"/>
  <c r="E90" i="26"/>
  <c r="D94" i="26"/>
  <c r="F93" i="26"/>
  <c r="D91" i="26"/>
  <c r="F88" i="26"/>
  <c r="E94" i="26"/>
  <c r="E93" i="26"/>
  <c r="E92" i="26"/>
  <c r="E91" i="26"/>
  <c r="F90" i="26"/>
  <c r="D90" i="26"/>
  <c r="C73" i="26"/>
  <c r="D72" i="26"/>
  <c r="D71" i="26"/>
  <c r="D65" i="26"/>
  <c r="C59" i="26"/>
  <c r="C57" i="26"/>
  <c r="C51" i="26"/>
  <c r="C45" i="26"/>
  <c r="C43" i="26"/>
  <c r="C37" i="26"/>
  <c r="C36" i="26"/>
  <c r="D31" i="26"/>
  <c r="C24" i="26"/>
  <c r="D23" i="26"/>
  <c r="D17" i="26"/>
  <c r="D15" i="26"/>
  <c r="D9" i="26"/>
  <c r="C8" i="26"/>
  <c r="M13" i="35"/>
  <c r="N13" i="35" s="1"/>
  <c r="M12" i="35"/>
  <c r="N12" i="35" s="1"/>
  <c r="M11" i="35"/>
  <c r="N11" i="35" s="1"/>
  <c r="M10" i="35"/>
  <c r="N10" i="35" s="1"/>
  <c r="M9" i="35"/>
  <c r="N9" i="35" s="1"/>
  <c r="M8" i="35"/>
  <c r="N8" i="35" s="1"/>
  <c r="M7" i="35"/>
  <c r="N7" i="35" s="1"/>
  <c r="N6" i="35"/>
  <c r="M5" i="35"/>
  <c r="N5" i="35" s="1"/>
  <c r="M4" i="35"/>
  <c r="N4" i="35" s="1"/>
  <c r="C66" i="26"/>
  <c r="D64" i="26"/>
  <c r="D58" i="26"/>
  <c r="D52" i="26"/>
  <c r="D50" i="26"/>
  <c r="C44" i="26"/>
  <c r="D43" i="26"/>
  <c r="D37" i="26"/>
  <c r="C30" i="26"/>
  <c r="D29" i="26"/>
  <c r="D22" i="26"/>
  <c r="D16" i="26"/>
  <c r="C10" i="26"/>
  <c r="D73" i="26"/>
  <c r="C72" i="26"/>
  <c r="C71" i="26"/>
  <c r="D66" i="26"/>
  <c r="C64" i="26"/>
  <c r="C58" i="26"/>
  <c r="C52" i="26"/>
  <c r="D51" i="26"/>
  <c r="D45" i="26"/>
  <c r="D38" i="26"/>
  <c r="D36" i="26"/>
  <c r="D30" i="26"/>
  <c r="C29" i="26"/>
  <c r="C23" i="26"/>
  <c r="C17" i="26"/>
  <c r="C15" i="26"/>
  <c r="C9" i="26"/>
  <c r="D8" i="26"/>
  <c r="C65" i="26"/>
  <c r="D59" i="26"/>
  <c r="D57" i="26"/>
  <c r="C50" i="26"/>
  <c r="D44" i="26"/>
  <c r="C38" i="26"/>
  <c r="C31" i="26"/>
  <c r="D24" i="26"/>
  <c r="C22" i="26"/>
  <c r="C16" i="26"/>
  <c r="D10" i="26"/>
  <c r="L11" i="15"/>
  <c r="B12" i="8"/>
  <c r="B9" i="8"/>
  <c r="B10" i="8"/>
  <c r="B14" i="8"/>
  <c r="B11" i="8"/>
  <c r="H18" i="35"/>
  <c r="J10" i="15"/>
  <c r="C10" i="15"/>
  <c r="G73" i="26"/>
  <c r="H71" i="26"/>
  <c r="G69" i="26"/>
  <c r="G66" i="26"/>
  <c r="H66" i="26"/>
  <c r="G64" i="26"/>
  <c r="H64" i="26"/>
  <c r="G63" i="26"/>
  <c r="H63" i="26"/>
  <c r="G61" i="26"/>
  <c r="H61" i="26"/>
  <c r="G60" i="26"/>
  <c r="H60" i="26"/>
  <c r="G57" i="26"/>
  <c r="H57" i="26"/>
  <c r="G56" i="26"/>
  <c r="H56" i="26"/>
  <c r="G55" i="26"/>
  <c r="H55" i="26"/>
  <c r="G52" i="26"/>
  <c r="G50" i="26"/>
  <c r="H50" i="26"/>
  <c r="G48" i="26"/>
  <c r="H48" i="26"/>
  <c r="G45" i="26"/>
  <c r="G43" i="26"/>
  <c r="H43" i="26"/>
  <c r="G41" i="26"/>
  <c r="H41" i="26"/>
  <c r="G40" i="26"/>
  <c r="H40" i="26"/>
  <c r="G39" i="26"/>
  <c r="H39" i="26"/>
  <c r="G37" i="26"/>
  <c r="H37" i="26"/>
  <c r="G35" i="26"/>
  <c r="H35" i="26"/>
  <c r="G33" i="26"/>
  <c r="H33" i="26"/>
  <c r="G31" i="26"/>
  <c r="H31" i="26"/>
  <c r="G30" i="26"/>
  <c r="H30" i="26"/>
  <c r="G26" i="26"/>
  <c r="H26" i="26"/>
  <c r="G24" i="26"/>
  <c r="H24" i="26"/>
  <c r="G23" i="26"/>
  <c r="H23" i="26"/>
  <c r="G22" i="26"/>
  <c r="H22" i="26"/>
  <c r="G21" i="26"/>
  <c r="H21" i="26"/>
  <c r="G20" i="26"/>
  <c r="H20" i="26"/>
  <c r="G17" i="26"/>
  <c r="H17" i="26"/>
  <c r="G15" i="26"/>
  <c r="H15" i="26"/>
  <c r="G13" i="26"/>
  <c r="H13" i="26"/>
  <c r="G11" i="26"/>
  <c r="G7" i="26"/>
  <c r="H7" i="26"/>
  <c r="G6" i="26"/>
  <c r="H6" i="26"/>
  <c r="G4" i="26"/>
  <c r="H4" i="26"/>
  <c r="H73" i="26"/>
  <c r="G72" i="26"/>
  <c r="H72" i="26"/>
  <c r="G71" i="26"/>
  <c r="G70" i="26"/>
  <c r="H70" i="26"/>
  <c r="H69" i="26"/>
  <c r="G68" i="26"/>
  <c r="H68" i="26"/>
  <c r="G67" i="26"/>
  <c r="H67" i="26"/>
  <c r="G65" i="26"/>
  <c r="H65" i="26"/>
  <c r="G62" i="26"/>
  <c r="H62" i="26"/>
  <c r="G59" i="26"/>
  <c r="H59" i="26"/>
  <c r="G58" i="26"/>
  <c r="H58" i="26"/>
  <c r="G54" i="26"/>
  <c r="H54" i="26"/>
  <c r="G53" i="26"/>
  <c r="H53" i="26"/>
  <c r="H52" i="26"/>
  <c r="G51" i="26"/>
  <c r="H51" i="26"/>
  <c r="G49" i="26"/>
  <c r="H49" i="26"/>
  <c r="G47" i="26"/>
  <c r="H47" i="26"/>
  <c r="G46" i="26"/>
  <c r="H46" i="26"/>
  <c r="H45" i="26"/>
  <c r="G44" i="26"/>
  <c r="H44" i="26"/>
  <c r="G42" i="26"/>
  <c r="H42" i="26"/>
  <c r="G38" i="26"/>
  <c r="H38" i="26"/>
  <c r="G36" i="26"/>
  <c r="H36" i="26"/>
  <c r="G34" i="26"/>
  <c r="H34" i="26"/>
  <c r="G32" i="26"/>
  <c r="H32" i="26"/>
  <c r="G29" i="26"/>
  <c r="H29" i="26"/>
  <c r="G28" i="26"/>
  <c r="H28" i="26"/>
  <c r="G27" i="26"/>
  <c r="H27" i="26"/>
  <c r="G25" i="26"/>
  <c r="H25" i="26"/>
  <c r="G19" i="26"/>
  <c r="H19" i="26"/>
  <c r="G18" i="26"/>
  <c r="H18" i="26"/>
  <c r="G16" i="26"/>
  <c r="H16" i="26"/>
  <c r="G14" i="26"/>
  <c r="H14" i="26"/>
  <c r="G12" i="26"/>
  <c r="H12" i="26"/>
  <c r="H11" i="26"/>
  <c r="G10" i="26"/>
  <c r="H10" i="26"/>
  <c r="G9" i="26"/>
  <c r="H9" i="26"/>
  <c r="G8" i="26"/>
  <c r="H8" i="26"/>
  <c r="G5" i="26"/>
  <c r="H5" i="26"/>
  <c r="D81" i="26"/>
  <c r="D80" i="26"/>
  <c r="D77" i="26"/>
  <c r="D76" i="26"/>
  <c r="F86" i="26"/>
  <c r="D89" i="26"/>
  <c r="D87" i="26"/>
  <c r="E88" i="26"/>
  <c r="F89" i="26"/>
  <c r="E89" i="26"/>
  <c r="D88" i="26"/>
  <c r="F87" i="26"/>
  <c r="E86" i="26"/>
  <c r="E87" i="26"/>
  <c r="D86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K10" i="15"/>
  <c r="I10" i="15"/>
  <c r="H10" i="15"/>
  <c r="G10" i="15"/>
  <c r="F10" i="15"/>
  <c r="E10" i="15"/>
  <c r="D10" i="15"/>
  <c r="F85" i="26"/>
  <c r="E85" i="26"/>
  <c r="F84" i="26"/>
  <c r="E84" i="26"/>
  <c r="F83" i="26"/>
  <c r="E83" i="26"/>
  <c r="F82" i="26"/>
  <c r="E82" i="26"/>
  <c r="F81" i="26"/>
  <c r="E81" i="26"/>
  <c r="F80" i="26"/>
  <c r="E80" i="26"/>
  <c r="F79" i="26"/>
  <c r="E79" i="26"/>
  <c r="F78" i="26"/>
  <c r="E78" i="26"/>
  <c r="F77" i="26"/>
  <c r="E77" i="26"/>
  <c r="C94" i="26"/>
  <c r="C93" i="26"/>
  <c r="C91" i="26"/>
  <c r="C92" i="26"/>
  <c r="C90" i="26"/>
  <c r="F94" i="26"/>
  <c r="D93" i="26"/>
  <c r="D92" i="26"/>
  <c r="B25" i="17"/>
  <c r="B24" i="17"/>
  <c r="B11" i="11"/>
  <c r="E11" i="11"/>
  <c r="B18" i="17"/>
  <c r="B17" i="17"/>
  <c r="B25" i="11"/>
  <c r="C11" i="11"/>
  <c r="B5" i="12"/>
  <c r="D11" i="11"/>
  <c r="B20" i="17"/>
  <c r="B19" i="11"/>
  <c r="C19" i="11"/>
  <c r="E19" i="11"/>
  <c r="F19" i="11"/>
  <c r="D19" i="11"/>
  <c r="F11" i="11"/>
  <c r="C7" i="11"/>
  <c r="D7" i="11"/>
  <c r="E7" i="11"/>
  <c r="F7" i="11"/>
  <c r="B26" i="17"/>
  <c r="A58" i="10"/>
  <c r="A59" i="10"/>
  <c r="A57" i="10"/>
  <c r="B50" i="10"/>
  <c r="C45" i="10"/>
  <c r="B7" i="10"/>
  <c r="C4" i="16"/>
  <c r="C5" i="16"/>
  <c r="C6" i="16"/>
  <c r="C7" i="16"/>
  <c r="B16" i="17"/>
  <c r="B8" i="12"/>
  <c r="D8" i="12" s="1"/>
  <c r="B4" i="12"/>
  <c r="B27" i="11"/>
  <c r="D27" i="11" s="1"/>
  <c r="B19" i="17"/>
  <c r="B26" i="11"/>
  <c r="D26" i="11" s="1"/>
  <c r="B6" i="12"/>
  <c r="B7" i="12"/>
  <c r="D7" i="12" s="1"/>
  <c r="D30" i="36" l="1"/>
  <c r="B30" i="36"/>
  <c r="B35" i="36" s="1"/>
  <c r="C27" i="9"/>
  <c r="C28" i="9"/>
  <c r="C29" i="9"/>
  <c r="B17" i="9"/>
  <c r="C17" i="9"/>
  <c r="D17" i="9"/>
  <c r="E17" i="9"/>
  <c r="F17" i="9"/>
  <c r="D28" i="9"/>
  <c r="D29" i="9"/>
  <c r="B13" i="36"/>
  <c r="B22" i="45"/>
  <c r="B22" i="44"/>
  <c r="B22" i="43"/>
  <c r="B21" i="42"/>
  <c r="C21" i="42"/>
  <c r="D21" i="42"/>
  <c r="E21" i="42"/>
  <c r="G19" i="42"/>
  <c r="G21" i="42" s="1"/>
  <c r="F21" i="42"/>
  <c r="B41" i="42"/>
  <c r="C41" i="42"/>
  <c r="D41" i="42"/>
  <c r="B42" i="42"/>
  <c r="D42" i="42"/>
  <c r="B43" i="42"/>
  <c r="C43" i="42"/>
  <c r="D43" i="42"/>
  <c r="B21" i="41"/>
  <c r="C21" i="41"/>
  <c r="D21" i="41"/>
  <c r="E21" i="41"/>
  <c r="G19" i="41"/>
  <c r="G21" i="41" s="1"/>
  <c r="F21" i="41"/>
  <c r="B41" i="41"/>
  <c r="C41" i="41"/>
  <c r="D41" i="41"/>
  <c r="B42" i="41"/>
  <c r="D42" i="41"/>
  <c r="B43" i="41"/>
  <c r="C43" i="41"/>
  <c r="D43" i="41"/>
  <c r="B22" i="40"/>
  <c r="B22" i="39"/>
  <c r="B22" i="38"/>
  <c r="C21" i="37"/>
  <c r="C41" i="37"/>
  <c r="G19" i="37"/>
  <c r="G21" i="37" s="1"/>
  <c r="F21" i="37"/>
  <c r="B41" i="37"/>
  <c r="D41" i="37"/>
  <c r="B42" i="37"/>
  <c r="D42" i="37"/>
  <c r="B43" i="37"/>
  <c r="C43" i="37"/>
  <c r="D43" i="37"/>
  <c r="B21" i="37"/>
  <c r="B22" i="37" s="1"/>
  <c r="D21" i="37"/>
  <c r="E21" i="37"/>
  <c r="D27" i="9"/>
  <c r="D30" i="40"/>
  <c r="D30" i="39"/>
  <c r="D13" i="30"/>
  <c r="C13" i="30"/>
  <c r="B13" i="30"/>
  <c r="D12" i="30"/>
  <c r="C12" i="30"/>
  <c r="B12" i="30"/>
  <c r="B4" i="33"/>
  <c r="B9" i="33" s="1"/>
  <c r="B12" i="33" s="1"/>
  <c r="D11" i="30"/>
  <c r="C11" i="30"/>
  <c r="B11" i="30"/>
  <c r="L10" i="15"/>
  <c r="A98" i="26"/>
  <c r="M18" i="35"/>
  <c r="D30" i="42"/>
  <c r="D30" i="37"/>
  <c r="B8" i="34"/>
  <c r="L18" i="35"/>
  <c r="K18" i="35"/>
  <c r="J18" i="35"/>
  <c r="I18" i="35"/>
  <c r="E76" i="26"/>
  <c r="F76" i="26"/>
  <c r="D30" i="45"/>
  <c r="D30" i="44"/>
  <c r="D30" i="43"/>
  <c r="D30" i="41"/>
  <c r="D30" i="38"/>
  <c r="B8" i="16"/>
  <c r="D25" i="11"/>
  <c r="D5" i="12"/>
  <c r="B40" i="10"/>
  <c r="B57" i="10" s="1"/>
  <c r="B35" i="10"/>
  <c r="B59" i="10" s="1"/>
  <c r="B26" i="10"/>
  <c r="C48" i="10"/>
  <c r="D45" i="10" s="1"/>
  <c r="B12" i="10"/>
  <c r="B18" i="10"/>
  <c r="C7" i="10"/>
  <c r="D4" i="12"/>
  <c r="D6" i="12"/>
  <c r="D41" i="36" l="1"/>
  <c r="D42" i="36"/>
  <c r="B20" i="36"/>
  <c r="B21" i="36" s="1"/>
  <c r="C20" i="36"/>
  <c r="C21" i="36" s="1"/>
  <c r="D20" i="36"/>
  <c r="D21" i="36" s="1"/>
  <c r="F20" i="36"/>
  <c r="F21" i="36" s="1"/>
  <c r="G20" i="36"/>
  <c r="C41" i="36"/>
  <c r="B42" i="36"/>
  <c r="B43" i="36"/>
  <c r="D43" i="36"/>
  <c r="E20" i="36"/>
  <c r="E21" i="36" s="1"/>
  <c r="C43" i="36"/>
  <c r="B41" i="36"/>
  <c r="G19" i="36"/>
  <c r="G21" i="36" s="1"/>
  <c r="C22" i="36"/>
  <c r="D22" i="36"/>
  <c r="B13" i="9"/>
  <c r="B35" i="9"/>
  <c r="D30" i="9"/>
  <c r="G20" i="9"/>
  <c r="C20" i="9"/>
  <c r="C42" i="45"/>
  <c r="C42" i="44"/>
  <c r="C42" i="43"/>
  <c r="B22" i="42"/>
  <c r="B22" i="41"/>
  <c r="C42" i="40"/>
  <c r="C42" i="39"/>
  <c r="C42" i="38"/>
  <c r="C42" i="37"/>
  <c r="B18" i="35"/>
  <c r="B8" i="32" s="1"/>
  <c r="N18" i="35"/>
  <c r="F22" i="45"/>
  <c r="F22" i="44"/>
  <c r="F22" i="43"/>
  <c r="F22" i="42"/>
  <c r="F22" i="39"/>
  <c r="F22" i="38"/>
  <c r="F22" i="37"/>
  <c r="C8" i="16"/>
  <c r="C36" i="15"/>
  <c r="C34" i="15"/>
  <c r="C35" i="15"/>
  <c r="C33" i="15"/>
  <c r="B13" i="10"/>
  <c r="B28" i="10"/>
  <c r="B27" i="10"/>
  <c r="C40" i="10"/>
  <c r="C57" i="10" s="1"/>
  <c r="C35" i="10"/>
  <c r="C59" i="10" s="1"/>
  <c r="C26" i="10"/>
  <c r="D48" i="10"/>
  <c r="E45" i="10" s="1"/>
  <c r="C50" i="10"/>
  <c r="C12" i="10"/>
  <c r="C18" i="10"/>
  <c r="D7" i="10"/>
  <c r="F22" i="36" l="1"/>
  <c r="C21" i="9"/>
  <c r="G19" i="9"/>
  <c r="B20" i="9"/>
  <c r="E21" i="9"/>
  <c r="E20" i="9"/>
  <c r="F21" i="9"/>
  <c r="F20" i="9"/>
  <c r="G21" i="9"/>
  <c r="D21" i="9"/>
  <c r="D20" i="9"/>
  <c r="B22" i="36"/>
  <c r="G22" i="36"/>
  <c r="E22" i="36"/>
  <c r="C42" i="42"/>
  <c r="C42" i="41"/>
  <c r="B5" i="34"/>
  <c r="B21" i="9"/>
  <c r="G22" i="44"/>
  <c r="G22" i="43"/>
  <c r="G22" i="41"/>
  <c r="G22" i="40"/>
  <c r="G22" i="38"/>
  <c r="C8" i="32"/>
  <c r="G22" i="37"/>
  <c r="E22" i="45"/>
  <c r="D22" i="45"/>
  <c r="C22" i="45"/>
  <c r="G22" i="45"/>
  <c r="E22" i="44"/>
  <c r="D22" i="44"/>
  <c r="C22" i="44"/>
  <c r="E22" i="43"/>
  <c r="D22" i="43"/>
  <c r="C22" i="43"/>
  <c r="E22" i="42"/>
  <c r="D22" i="42"/>
  <c r="C22" i="42"/>
  <c r="G22" i="42"/>
  <c r="F22" i="41"/>
  <c r="E22" i="41"/>
  <c r="D22" i="41"/>
  <c r="C22" i="41"/>
  <c r="F22" i="40"/>
  <c r="E22" i="40"/>
  <c r="D22" i="40"/>
  <c r="C22" i="40"/>
  <c r="E22" i="39"/>
  <c r="D22" i="39"/>
  <c r="C22" i="39"/>
  <c r="G22" i="39"/>
  <c r="E22" i="38"/>
  <c r="D22" i="38"/>
  <c r="C22" i="38"/>
  <c r="E22" i="37"/>
  <c r="D22" i="37"/>
  <c r="C22" i="37"/>
  <c r="B19" i="10"/>
  <c r="B41" i="10" s="1"/>
  <c r="B54" i="10" s="1"/>
  <c r="B56" i="10" s="1"/>
  <c r="B60" i="10" s="1"/>
  <c r="B29" i="10"/>
  <c r="C13" i="10"/>
  <c r="C19" i="10" s="1"/>
  <c r="C41" i="10" s="1"/>
  <c r="C54" i="10" s="1"/>
  <c r="C56" i="10" s="1"/>
  <c r="C28" i="10"/>
  <c r="C27" i="10"/>
  <c r="D40" i="10"/>
  <c r="D57" i="10" s="1"/>
  <c r="D35" i="10"/>
  <c r="D59" i="10" s="1"/>
  <c r="D26" i="10"/>
  <c r="E48" i="10"/>
  <c r="F45" i="10" s="1"/>
  <c r="D50" i="10"/>
  <c r="D18" i="10"/>
  <c r="D12" i="10"/>
  <c r="E7" i="10"/>
  <c r="B23" i="36" l="1"/>
  <c r="B34" i="36" s="1"/>
  <c r="B36" i="36" s="1"/>
  <c r="B37" i="36" s="1"/>
  <c r="C42" i="36"/>
  <c r="B23" i="9"/>
  <c r="H23" i="36"/>
  <c r="B34" i="9"/>
  <c r="B4" i="34"/>
  <c r="H23" i="45"/>
  <c r="B23" i="45"/>
  <c r="B23" i="44"/>
  <c r="H23" i="44"/>
  <c r="H23" i="43"/>
  <c r="B23" i="43"/>
  <c r="B23" i="42"/>
  <c r="H23" i="42"/>
  <c r="H23" i="41"/>
  <c r="B23" i="41"/>
  <c r="H23" i="40"/>
  <c r="B23" i="40"/>
  <c r="H23" i="39"/>
  <c r="B23" i="39"/>
  <c r="B23" i="38"/>
  <c r="H23" i="38"/>
  <c r="H23" i="37"/>
  <c r="B23" i="37"/>
  <c r="C29" i="10"/>
  <c r="C30" i="10" s="1"/>
  <c r="C58" i="10" s="1"/>
  <c r="D13" i="10"/>
  <c r="D19" i="10" s="1"/>
  <c r="D41" i="10" s="1"/>
  <c r="D54" i="10" s="1"/>
  <c r="D56" i="10" s="1"/>
  <c r="D28" i="10"/>
  <c r="D27" i="10"/>
  <c r="D29" i="10" s="1"/>
  <c r="E40" i="10"/>
  <c r="E57" i="10" s="1"/>
  <c r="E35" i="10"/>
  <c r="E59" i="10" s="1"/>
  <c r="E26" i="10"/>
  <c r="F48" i="10"/>
  <c r="G45" i="10" s="1"/>
  <c r="E50" i="10"/>
  <c r="E12" i="10"/>
  <c r="E18" i="10"/>
  <c r="F7" i="10"/>
  <c r="B36" i="9" l="1"/>
  <c r="B9" i="15"/>
  <c r="L9" i="15" s="1"/>
  <c r="C60" i="10"/>
  <c r="D30" i="10"/>
  <c r="D58" i="10" s="1"/>
  <c r="D60" i="10" s="1"/>
  <c r="E13" i="10"/>
  <c r="E28" i="10"/>
  <c r="E27" i="10"/>
  <c r="E29" i="10" s="1"/>
  <c r="F40" i="10"/>
  <c r="F57" i="10" s="1"/>
  <c r="F35" i="10"/>
  <c r="F59" i="10" s="1"/>
  <c r="F26" i="10"/>
  <c r="G48" i="10"/>
  <c r="G50" i="10"/>
  <c r="F50" i="10"/>
  <c r="F18" i="10"/>
  <c r="F12" i="10"/>
  <c r="G7" i="10"/>
  <c r="B22" i="11" l="1"/>
  <c r="B11" i="17"/>
  <c r="E19" i="10"/>
  <c r="E41" i="10" s="1"/>
  <c r="E54" i="10" s="1"/>
  <c r="E56" i="10" s="1"/>
  <c r="F28" i="10"/>
  <c r="F27" i="10"/>
  <c r="G40" i="10"/>
  <c r="G57" i="10" s="1"/>
  <c r="G35" i="10"/>
  <c r="G59" i="10" s="1"/>
  <c r="G26" i="10"/>
  <c r="G12" i="10"/>
  <c r="G18" i="10"/>
  <c r="F13" i="10"/>
  <c r="F19" i="10" s="1"/>
  <c r="F41" i="10" s="1"/>
  <c r="F54" i="10" s="1"/>
  <c r="F56" i="10" s="1"/>
  <c r="E30" i="10"/>
  <c r="E58" i="10" s="1"/>
  <c r="B9" i="16" l="1"/>
  <c r="D22" i="11"/>
  <c r="B13" i="17"/>
  <c r="B6" i="34"/>
  <c r="F29" i="10"/>
  <c r="E60" i="10"/>
  <c r="G13" i="10"/>
  <c r="G19" i="10" s="1"/>
  <c r="G41" i="10" s="1"/>
  <c r="G54" i="10" s="1"/>
  <c r="G56" i="10" s="1"/>
  <c r="G28" i="10"/>
  <c r="G27" i="10"/>
  <c r="B13" i="16" l="1"/>
  <c r="B14" i="16"/>
  <c r="B15" i="16" s="1"/>
  <c r="C9" i="16"/>
  <c r="F30" i="10"/>
  <c r="F58" i="10" s="1"/>
  <c r="F60" i="10" s="1"/>
  <c r="G29" i="10"/>
  <c r="G30" i="10" l="1"/>
  <c r="G58" i="10" s="1"/>
  <c r="G60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<sst xmlns="http://schemas.openxmlformats.org/spreadsheetml/2006/main" count="2425" uniqueCount="654">
  <si>
    <t>CLIENT INFORMATION FORM</t>
  </si>
  <si>
    <t>Country_List</t>
  </si>
  <si>
    <t>Currency_List</t>
  </si>
  <si>
    <t>YesNo_List</t>
  </si>
  <si>
    <t>FX_Source_List</t>
  </si>
  <si>
    <t>List_Country</t>
  </si>
  <si>
    <t>United States</t>
  </si>
  <si>
    <t>Canada</t>
  </si>
  <si>
    <t>United Kingdom</t>
  </si>
  <si>
    <t>Germany</t>
  </si>
  <si>
    <t>France</t>
  </si>
  <si>
    <t>Japan</t>
  </si>
  <si>
    <t>Australia</t>
  </si>
  <si>
    <t>Mexico</t>
  </si>
  <si>
    <t>Entity 10</t>
  </si>
  <si>
    <t>Field</t>
  </si>
  <si>
    <t>Input</t>
  </si>
  <si>
    <t>USD</t>
  </si>
  <si>
    <t>Yes</t>
  </si>
  <si>
    <t>Auto</t>
  </si>
  <si>
    <t>List_Currency</t>
  </si>
  <si>
    <t>EUR</t>
  </si>
  <si>
    <t>GBP</t>
  </si>
  <si>
    <t>CAD</t>
  </si>
  <si>
    <t>JPY</t>
  </si>
  <si>
    <t>AUD</t>
  </si>
  <si>
    <t>MXN</t>
  </si>
  <si>
    <t>CHF</t>
  </si>
  <si>
    <t>Client Name</t>
  </si>
  <si>
    <t>No</t>
  </si>
  <si>
    <t>Manual</t>
  </si>
  <si>
    <t>List_Ownership_Type</t>
  </si>
  <si>
    <t>Subsidiary</t>
  </si>
  <si>
    <t>JV</t>
  </si>
  <si>
    <t>Minority</t>
  </si>
  <si>
    <t>Branch</t>
  </si>
  <si>
    <t>Industry (NAICS)</t>
  </si>
  <si>
    <t>List_JV_Contribution_Type</t>
  </si>
  <si>
    <t>Cash</t>
  </si>
  <si>
    <t>IP</t>
  </si>
  <si>
    <t>Services</t>
  </si>
  <si>
    <t>Assets</t>
  </si>
  <si>
    <t>Location</t>
  </si>
  <si>
    <t>List_Waterfall_Tier</t>
  </si>
  <si>
    <t>Tier 1</t>
  </si>
  <si>
    <t>Tier 2</t>
  </si>
  <si>
    <t>Tier 3</t>
  </si>
  <si>
    <t>Tier 4</t>
  </si>
  <si>
    <t>Client Currency</t>
  </si>
  <si>
    <t>List_FX_Source</t>
  </si>
  <si>
    <t>Valuation Date</t>
  </si>
  <si>
    <t>India</t>
  </si>
  <si>
    <t>List_Rate_Override_Reason</t>
  </si>
  <si>
    <t>Manual Override</t>
  </si>
  <si>
    <t>Data Provider Exception</t>
  </si>
  <si>
    <t>Historical Adjustment</t>
  </si>
  <si>
    <t>Management Input</t>
  </si>
  <si>
    <t>Service Line</t>
  </si>
  <si>
    <t>INR</t>
  </si>
  <si>
    <t>List_Document_Status</t>
  </si>
  <si>
    <t>Received</t>
  </si>
  <si>
    <t>Missing</t>
  </si>
  <si>
    <t>Requested</t>
  </si>
  <si>
    <t>Under Review</t>
  </si>
  <si>
    <t>Valuation Type</t>
  </si>
  <si>
    <t>List_Scenario</t>
  </si>
  <si>
    <t>Best Case</t>
  </si>
  <si>
    <t>Base Case</t>
  </si>
  <si>
    <t>Worst Case</t>
  </si>
  <si>
    <t>Entity Count</t>
  </si>
  <si>
    <t>BRL</t>
  </si>
  <si>
    <t>List_Yes_No</t>
  </si>
  <si>
    <t>Brazil</t>
  </si>
  <si>
    <t>List_Entity</t>
  </si>
  <si>
    <t>Entity 1</t>
  </si>
  <si>
    <t>Entity 2</t>
  </si>
  <si>
    <t>Entity 3</t>
  </si>
  <si>
    <t>Entity 4</t>
  </si>
  <si>
    <t>Entity 5</t>
  </si>
  <si>
    <t>Entity 6</t>
  </si>
  <si>
    <t>Entity 7</t>
  </si>
  <si>
    <t>Entity 8</t>
  </si>
  <si>
    <t>FX CONVERSION - MULTI ENTITY</t>
  </si>
  <si>
    <t>FX CONTROL PANEL</t>
  </si>
  <si>
    <t>Entity</t>
  </si>
  <si>
    <t>Currency</t>
  </si>
  <si>
    <t>Previous Month-End FX Rate</t>
  </si>
  <si>
    <t>Source URL</t>
  </si>
  <si>
    <t>AI_Fetched (Yes/No)</t>
  </si>
  <si>
    <t>Manual Override (Yes/No)</t>
  </si>
  <si>
    <t>Notes</t>
  </si>
  <si>
    <t>Value</t>
  </si>
  <si>
    <t>FX Rate Source</t>
  </si>
  <si>
    <t>FX Historical Date</t>
  </si>
  <si>
    <t>USD Conversion Rate</t>
  </si>
  <si>
    <t>Auto-Fetched FX Rate</t>
  </si>
  <si>
    <t>Final FX Rate Used</t>
  </si>
  <si>
    <t>Entity 9</t>
  </si>
  <si>
    <t>Formula Reference</t>
  </si>
  <si>
    <t>Code</t>
  </si>
  <si>
    <t>Value_USD = Value_Local * FX_Rate</t>
  </si>
  <si>
    <t>Policy</t>
  </si>
  <si>
    <t>All rate lookups must use previous month-end values with manual override allowed.</t>
  </si>
  <si>
    <t>Warning Rule</t>
  </si>
  <si>
    <t>If currency is missing, display a warning.</t>
  </si>
  <si>
    <t>ENTITY 1 FINANCIAL INPUTS</t>
  </si>
  <si>
    <t>INCOME STATEMENT</t>
  </si>
  <si>
    <t>Line Item</t>
  </si>
  <si>
    <t>Year 1</t>
  </si>
  <si>
    <t>Year 2</t>
  </si>
  <si>
    <t>Year 3</t>
  </si>
  <si>
    <t>Year 4</t>
  </si>
  <si>
    <t>Year 5</t>
  </si>
  <si>
    <t>Revenue</t>
  </si>
  <si>
    <t>COGS</t>
  </si>
  <si>
    <t>Gross Profit</t>
  </si>
  <si>
    <t>Operating Expenses</t>
  </si>
  <si>
    <t>EBITDA</t>
  </si>
  <si>
    <t>Depreciation</t>
  </si>
  <si>
    <t>EBIT</t>
  </si>
  <si>
    <t>Interest</t>
  </si>
  <si>
    <t>Taxes</t>
  </si>
  <si>
    <t>Net Income</t>
  </si>
  <si>
    <t>BALANCE SHEET</t>
  </si>
  <si>
    <t>AR</t>
  </si>
  <si>
    <t>Inventory</t>
  </si>
  <si>
    <t>Current Assets</t>
  </si>
  <si>
    <t>PP&amp;E</t>
  </si>
  <si>
    <t>Total Assets</t>
  </si>
  <si>
    <t>AP</t>
  </si>
  <si>
    <t>Accrued Liabilities</t>
  </si>
  <si>
    <t>Short-Term Debt</t>
  </si>
  <si>
    <t>Long-Term Debt</t>
  </si>
  <si>
    <t>Total Liabilities</t>
  </si>
  <si>
    <t>Equity</t>
  </si>
  <si>
    <t>CASH FLOW STATEMENT</t>
  </si>
  <si>
    <t>Working Capital Changes</t>
  </si>
  <si>
    <t>Capex</t>
  </si>
  <si>
    <t>Free Cash Flow</t>
  </si>
  <si>
    <t>ENTITY 2 FINANCIAL INPUTS</t>
  </si>
  <si>
    <t>ENTITY 3 FINANCIAL INPUTS</t>
  </si>
  <si>
    <t>EBITDA ADJUSTMENTS</t>
  </si>
  <si>
    <t>SECTION 1: OWNER ADJUSTMENTS</t>
  </si>
  <si>
    <t>Adjustment Item</t>
  </si>
  <si>
    <t>Amount</t>
  </si>
  <si>
    <t>Owner Salary Normalization</t>
  </si>
  <si>
    <t>Related Party Transactions</t>
  </si>
  <si>
    <t>Discretionary Expenses</t>
  </si>
  <si>
    <t>Subtotal Owner Adjustments</t>
  </si>
  <si>
    <t>SECTION 2: NON RECURRING ITEMS</t>
  </si>
  <si>
    <t>One Time Legal Fees</t>
  </si>
  <si>
    <t>Asset Write Offs</t>
  </si>
  <si>
    <t>Extraordinary Gains/Losses</t>
  </si>
  <si>
    <t>Subtotal Non Recurring</t>
  </si>
  <si>
    <t>SECTION 3: NORMALIZED EBITDA</t>
  </si>
  <si>
    <t>Item</t>
  </si>
  <si>
    <t>Source</t>
  </si>
  <si>
    <t>EBITDA (from Fin_Inputs)</t>
  </si>
  <si>
    <t>Fin_Inputs_Entity1!F9</t>
  </si>
  <si>
    <t>Total Adjustments</t>
  </si>
  <si>
    <t>Sum of all adjustments</t>
  </si>
  <si>
    <t>Normalized EBITDA</t>
  </si>
  <si>
    <t>Normalized EBITDA = EBITDA + Total Adjustments</t>
  </si>
  <si>
    <t>KEY PERFORMANCE INDICATORS</t>
  </si>
  <si>
    <t>KPI</t>
  </si>
  <si>
    <t>Formula</t>
  </si>
  <si>
    <t>Description</t>
  </si>
  <si>
    <t>Revenue CAGR</t>
  </si>
  <si>
    <t>5-Year Compound Annual Growth Rate</t>
  </si>
  <si>
    <t>Gross Margin</t>
  </si>
  <si>
    <t>Profitability after COGS</t>
  </si>
  <si>
    <t>EBITDA Margin</t>
  </si>
  <si>
    <t>Operating profitability</t>
  </si>
  <si>
    <t>Net Margin</t>
  </si>
  <si>
    <t>Bottom line profitability</t>
  </si>
  <si>
    <t>Working Capital Ratio</t>
  </si>
  <si>
    <t>WC as % of Revenue</t>
  </si>
  <si>
    <t>Current Ratio</t>
  </si>
  <si>
    <t>Short-term liquidity</t>
  </si>
  <si>
    <t>Quick Ratio</t>
  </si>
  <si>
    <t>Liquidity excl. inventory</t>
  </si>
  <si>
    <t>Debt/EBITDA</t>
  </si>
  <si>
    <t>Leverage ratio</t>
  </si>
  <si>
    <t>Interest Coverage</t>
  </si>
  <si>
    <t>Ability to service debt</t>
  </si>
  <si>
    <t>ROA</t>
  </si>
  <si>
    <t>Return on Assets</t>
  </si>
  <si>
    <t>ROE</t>
  </si>
  <si>
    <t>Return on Equity</t>
  </si>
  <si>
    <t>VALUATION ANALYSIS</t>
  </si>
  <si>
    <t>SECTION A: WACC INPUTS</t>
  </si>
  <si>
    <t>Risk Free Rate</t>
  </si>
  <si>
    <t>10-Year Treasury</t>
  </si>
  <si>
    <t>Beta</t>
  </si>
  <si>
    <t>Industry/Company Beta</t>
  </si>
  <si>
    <t>Market Risk Premium</t>
  </si>
  <si>
    <t>Equity Risk Premium</t>
  </si>
  <si>
    <t>Cost of Debt</t>
  </si>
  <si>
    <t>Pre-tax cost</t>
  </si>
  <si>
    <t>Tax Rate</t>
  </si>
  <si>
    <t>Effective tax rate</t>
  </si>
  <si>
    <t>Debt Weight</t>
  </si>
  <si>
    <t>D/(D+E)</t>
  </si>
  <si>
    <t>Equity Weight</t>
  </si>
  <si>
    <t>E/(D+E)</t>
  </si>
  <si>
    <t>Cost of Equity</t>
  </si>
  <si>
    <t>Cost_of_Equity = Risk_Free_Rate + Beta * Market_Risk_Premium</t>
  </si>
  <si>
    <t>WACC</t>
  </si>
  <si>
    <t>Weighted Average</t>
  </si>
  <si>
    <t>SECTION B: DCF MODEL</t>
  </si>
  <si>
    <t>Terminal</t>
  </si>
  <si>
    <t>Forecasted FCF</t>
  </si>
  <si>
    <t>Terminal Growth Rate</t>
  </si>
  <si>
    <t>Terminal Value</t>
  </si>
  <si>
    <t>Discount Factor</t>
  </si>
  <si>
    <t>PV of Cash Flows</t>
  </si>
  <si>
    <t>DCF Enterprise Value</t>
  </si>
  <si>
    <t>SECTION C: MARKET MULTIPLES</t>
  </si>
  <si>
    <t>Multiple</t>
  </si>
  <si>
    <t>Multiple Value</t>
  </si>
  <si>
    <t>Metric</t>
  </si>
  <si>
    <t>Implied EV</t>
  </si>
  <si>
    <t>EV/EBITDA</t>
  </si>
  <si>
    <t>EV/Revenue</t>
  </si>
  <si>
    <t>P/E</t>
  </si>
  <si>
    <t>Average Multiples Value</t>
  </si>
  <si>
    <t>SECTION D: FINAL VALUATION</t>
  </si>
  <si>
    <t>Valuation Method</t>
  </si>
  <si>
    <t>Weight</t>
  </si>
  <si>
    <t>DCF Value</t>
  </si>
  <si>
    <t>Market Multiples Value</t>
  </si>
  <si>
    <t>Final Valuation</t>
  </si>
  <si>
    <t>3-STATEMENT FINANCIAL MODEL</t>
  </si>
  <si>
    <t>REVENUE MODEL</t>
  </si>
  <si>
    <t>Historical</t>
  </si>
  <si>
    <t>Base Revenue</t>
  </si>
  <si>
    <t>Growth Rate</t>
  </si>
  <si>
    <t>Projected Revenue</t>
  </si>
  <si>
    <t>COGS MODEL</t>
  </si>
  <si>
    <t>COGS % of Revenue</t>
  </si>
  <si>
    <t>Projected COGS</t>
  </si>
  <si>
    <t>OPERATING EXPENSE MODEL</t>
  </si>
  <si>
    <t>OpEx % of Revenue</t>
  </si>
  <si>
    <t>Projected OpEx</t>
  </si>
  <si>
    <t>WORKING CAPITAL SCHEDULE</t>
  </si>
  <si>
    <t>AR Days</t>
  </si>
  <si>
    <t>Inventory Days</t>
  </si>
  <si>
    <t>AP Days</t>
  </si>
  <si>
    <t>Accounts Receivable</t>
  </si>
  <si>
    <t>Accounts Payable</t>
  </si>
  <si>
    <t>Net Working Capital</t>
  </si>
  <si>
    <t>Change in NWC</t>
  </si>
  <si>
    <t>CAPEX SCHEDULE</t>
  </si>
  <si>
    <t>Capex % of Revenue</t>
  </si>
  <si>
    <t>Capital Expenditures</t>
  </si>
  <si>
    <t>DEPRECIATION SCHEDULE</t>
  </si>
  <si>
    <t>D&amp;A % of Revenue</t>
  </si>
  <si>
    <t>DEBT SCHEDULE</t>
  </si>
  <si>
    <t>Beginning Debt</t>
  </si>
  <si>
    <t>New Borrowings</t>
  </si>
  <si>
    <t>Repayments</t>
  </si>
  <si>
    <t>Ending Debt</t>
  </si>
  <si>
    <t>Interest Rate</t>
  </si>
  <si>
    <t>Interest Expense</t>
  </si>
  <si>
    <t>FREE CASH FLOW SCHEDULE</t>
  </si>
  <si>
    <t>NOPAT</t>
  </si>
  <si>
    <t>CHARTS &amp; VISUALIZATIONS</t>
  </si>
  <si>
    <t>CHART DATA</t>
  </si>
  <si>
    <t>Revenue Growth</t>
  </si>
  <si>
    <t>YoY Growth %</t>
  </si>
  <si>
    <t>Margin %</t>
  </si>
  <si>
    <t>Cash Flow Trends</t>
  </si>
  <si>
    <t>Working Capital</t>
  </si>
  <si>
    <t>Current Liabilities</t>
  </si>
  <si>
    <t>Net WC</t>
  </si>
  <si>
    <t>Valuation Summary</t>
  </si>
  <si>
    <t>DCF</t>
  </si>
  <si>
    <t>Multiples</t>
  </si>
  <si>
    <t>Final</t>
  </si>
  <si>
    <t>Benchmark Comparison</t>
  </si>
  <si>
    <t>Client</t>
  </si>
  <si>
    <t>Industry</t>
  </si>
  <si>
    <t>Variance</t>
  </si>
  <si>
    <t>Note: Charts will be created using the data above. Select data ranges and insert charts as needed.</t>
  </si>
  <si>
    <t>INDUSTRY BENCHMARKING</t>
  </si>
  <si>
    <t>Industry Average</t>
  </si>
  <si>
    <t>Leverage (Debt/EBITDA)</t>
  </si>
  <si>
    <t>Working Capital %</t>
  </si>
  <si>
    <t>Instructions: Enter industry average benchmarks in yellow cells (Column C).</t>
  </si>
  <si>
    <t>DUE DILIGENCE ANALYSIS</t>
  </si>
  <si>
    <t>REVENUE TESTING</t>
  </si>
  <si>
    <t>Test Item</t>
  </si>
  <si>
    <t>Expected</t>
  </si>
  <si>
    <t>Actual</t>
  </si>
  <si>
    <t>Revenue per Customer</t>
  </si>
  <si>
    <t>Customer Count Verification</t>
  </si>
  <si>
    <t>Contract Value Reconciliation</t>
  </si>
  <si>
    <t>Revenue Recognition Review</t>
  </si>
  <si>
    <t>EXPENSE TESTING</t>
  </si>
  <si>
    <t>Payroll Verification</t>
  </si>
  <si>
    <t>Vendor Payment Analysis</t>
  </si>
  <si>
    <t>Related Party Expenses</t>
  </si>
  <si>
    <t>One-Time vs Recurring</t>
  </si>
  <si>
    <t>VARIANCE ANALYSIS</t>
  </si>
  <si>
    <t>Prior Year</t>
  </si>
  <si>
    <t>Current Year</t>
  </si>
  <si>
    <t>Variance %</t>
  </si>
  <si>
    <t>Explanation</t>
  </si>
  <si>
    <t>RED FLAG IDENTIFICATION</t>
  </si>
  <si>
    <t>Red Flag Item</t>
  </si>
  <si>
    <t>Severity</t>
  </si>
  <si>
    <t>Status</t>
  </si>
  <si>
    <t>Resolution</t>
  </si>
  <si>
    <t>Customer Concentration</t>
  </si>
  <si>
    <t>Related Party Issues</t>
  </si>
  <si>
    <t>Revenue Quality Concerns</t>
  </si>
  <si>
    <t>Working Capital Anomalies</t>
  </si>
  <si>
    <t>Contingent Liabilities</t>
  </si>
  <si>
    <t>NORMALIZATION SUMMARY</t>
  </si>
  <si>
    <t>Adjustment</t>
  </si>
  <si>
    <t>Recurring?</t>
  </si>
  <si>
    <t>Impact</t>
  </si>
  <si>
    <t>Documentation</t>
  </si>
  <si>
    <t>Reported EBITDA</t>
  </si>
  <si>
    <t>Owner Comp Adjustment</t>
  </si>
  <si>
    <t>Related Party Adjustment</t>
  </si>
  <si>
    <t>Non-Recurring Items</t>
  </si>
  <si>
    <t>M&amp;A / JV DEAL TERMS</t>
  </si>
  <si>
    <t>OWNERSHIP PERCENTAGES</t>
  </si>
  <si>
    <t>Party</t>
  </si>
  <si>
    <t>Ownership %</t>
  </si>
  <si>
    <t>Buyer/Investor 1</t>
  </si>
  <si>
    <t>Buyer/Investor 2</t>
  </si>
  <si>
    <t>Seller/Existing Owner</t>
  </si>
  <si>
    <t>Management Pool</t>
  </si>
  <si>
    <t>Total</t>
  </si>
  <si>
    <t>Must equal 100%</t>
  </si>
  <si>
    <t>PURCHASE PRICE</t>
  </si>
  <si>
    <t>Component</t>
  </si>
  <si>
    <t>Base Purchase Price</t>
  </si>
  <si>
    <t>Working Capital Adjustment</t>
  </si>
  <si>
    <t>Debt Assumption</t>
  </si>
  <si>
    <t>Cash on Hand</t>
  </si>
  <si>
    <t>Total Enterprise Value</t>
  </si>
  <si>
    <t>EARN OUT STRUCTURE</t>
  </si>
  <si>
    <t>Milestone</t>
  </si>
  <si>
    <t>Target</t>
  </si>
  <si>
    <t>Payout</t>
  </si>
  <si>
    <t>Year 1 Revenue Target</t>
  </si>
  <si>
    <t>Year 2 Revenue Target</t>
  </si>
  <si>
    <t>Year 1 EBITDA Target</t>
  </si>
  <si>
    <t>Year 2 EBITDA Target</t>
  </si>
  <si>
    <t>Total Potential Earn Out</t>
  </si>
  <si>
    <t>CONTRIBUTION AMOUNTS</t>
  </si>
  <si>
    <t>Assets/Services</t>
  </si>
  <si>
    <t>Party 1</t>
  </si>
  <si>
    <t>Party 2</t>
  </si>
  <si>
    <t>Party 3</t>
  </si>
  <si>
    <t>Total Contributions</t>
  </si>
  <si>
    <t>SYNERGIES</t>
  </si>
  <si>
    <t>Synergy Type</t>
  </si>
  <si>
    <t>Annual Amount</t>
  </si>
  <si>
    <t>Revenue Synergies</t>
  </si>
  <si>
    <t>Cost Synergies</t>
  </si>
  <si>
    <t>Operational Efficiencies</t>
  </si>
  <si>
    <t>Total Synergies</t>
  </si>
  <si>
    <t>SPECIAL RIGHTS</t>
  </si>
  <si>
    <t>Right/Provision</t>
  </si>
  <si>
    <t>Holder</t>
  </si>
  <si>
    <t>Details</t>
  </si>
  <si>
    <t>Board Seats</t>
  </si>
  <si>
    <t>Veto Rights</t>
  </si>
  <si>
    <t>Tag-Along Rights</t>
  </si>
  <si>
    <t>Drag-Along Rights</t>
  </si>
  <si>
    <t>Anti-Dilution</t>
  </si>
  <si>
    <t>CONSOLIDATION - 10 ENTITIES</t>
  </si>
  <si>
    <t>Combined Total</t>
  </si>
  <si>
    <t>Combined Revenue</t>
  </si>
  <si>
    <t>Combined EBITDA</t>
  </si>
  <si>
    <t>Combined Cash Flow</t>
  </si>
  <si>
    <t>Combined Debt</t>
  </si>
  <si>
    <t>Combined Working Capital</t>
  </si>
  <si>
    <t>Combined Valuation</t>
  </si>
  <si>
    <t>Combined Loan Readiness Metrics</t>
  </si>
  <si>
    <t>Warning</t>
  </si>
  <si>
    <t>FCF Contribution Analysis</t>
  </si>
  <si>
    <t>Metric / Year</t>
  </si>
  <si>
    <t>Combined</t>
  </si>
  <si>
    <t>FCF Year 1</t>
  </si>
  <si>
    <t>FCF Year 2</t>
  </si>
  <si>
    <t>FCF Year 3</t>
  </si>
  <si>
    <t>FCF Year 4</t>
  </si>
  <si>
    <t>FCF Year 5</t>
  </si>
  <si>
    <t>Valuation Contribution Analysis</t>
  </si>
  <si>
    <t>Contribution %</t>
  </si>
  <si>
    <t>JV Readiness</t>
  </si>
  <si>
    <t>Ownership % applied after FX conversion; JV split fields remain ready for future AI inputs</t>
  </si>
  <si>
    <t>Pro Forma EBITDA (w/ Synergies)</t>
  </si>
  <si>
    <t>MODEL REVIEW CHECKS</t>
  </si>
  <si>
    <t>Other</t>
  </si>
  <si>
    <t>Check</t>
  </si>
  <si>
    <t>Result</t>
  </si>
  <si>
    <t>1. Balance Sheet Balances</t>
  </si>
  <si>
    <t>Assets = Liabilities + Equity</t>
  </si>
  <si>
    <t>2. Cash Flow Reconciliation</t>
  </si>
  <si>
    <t>FCF ties to change in cash</t>
  </si>
  <si>
    <t>3. Missing Data Check</t>
  </si>
  <si>
    <t>All required inputs populated</t>
  </si>
  <si>
    <t>4. Outlier Detection</t>
  </si>
  <si>
    <t>No unusual growth/margin spikes</t>
  </si>
  <si>
    <t>5. FX Conversion Applied</t>
  </si>
  <si>
    <t>USD rate entered</t>
  </si>
  <si>
    <t>6. Formula Integrity</t>
  </si>
  <si>
    <t>No circular references</t>
  </si>
  <si>
    <t>SUMMARY</t>
  </si>
  <si>
    <t>Total Checks</t>
  </si>
  <si>
    <t>Passed</t>
  </si>
  <si>
    <t>Failed/Review</t>
  </si>
  <si>
    <t>Overall Status</t>
  </si>
  <si>
    <t>VALUATION EXPORT REPORT</t>
  </si>
  <si>
    <t>CLIENT INFORMATION</t>
  </si>
  <si>
    <t>FINAL VALUATION</t>
  </si>
  <si>
    <t>BENCHMARK SUMMARY</t>
  </si>
  <si>
    <t>NARRATIVE SUMMARY</t>
  </si>
  <si>
    <t>Executive Summary:</t>
  </si>
  <si>
    <t>[Enter executive summary here]</t>
  </si>
  <si>
    <t>Key Findings:</t>
  </si>
  <si>
    <t>[Enter key findings here]</t>
  </si>
  <si>
    <t>Risks &amp; Considerations:</t>
  </si>
  <si>
    <t>[Enter risks here]</t>
  </si>
  <si>
    <t>Recommendation:</t>
  </si>
  <si>
    <t>[Enter recommendation here]</t>
  </si>
  <si>
    <t>CHART REFERENCES</t>
  </si>
  <si>
    <t>Revenue Growth Chart</t>
  </si>
  <si>
    <t>See Charts tab</t>
  </si>
  <si>
    <t>EBITDA Margin Trend</t>
  </si>
  <si>
    <t>ENTITY 4 FINANCIAL INPUTS</t>
  </si>
  <si>
    <t>ENTITY 5 FINANCIAL INPUTS</t>
  </si>
  <si>
    <t>ENTITY 6 FINANCIAL INPUTS</t>
  </si>
  <si>
    <t>ENTITY 7 FINANCIAL INPUTS</t>
  </si>
  <si>
    <t>ENTITY 8 FINANCIAL INPUTS</t>
  </si>
  <si>
    <t>ENTITY 9 FINANCIAL INPUTS</t>
  </si>
  <si>
    <t>ENTITY 10 FINANCIAL INPUTS</t>
  </si>
  <si>
    <t>GLOBAL RATES - PREVIOUS MONTH-END</t>
  </si>
  <si>
    <t>Rate Name</t>
  </si>
  <si>
    <t>Country</t>
  </si>
  <si>
    <t>Previous Month-End Date</t>
  </si>
  <si>
    <t>Value Used</t>
  </si>
  <si>
    <t>Purpose</t>
  </si>
  <si>
    <t>U.S. 10-Year Treasury</t>
  </si>
  <si>
    <t>WACC / CAPM</t>
  </si>
  <si>
    <t>U.S. Market Risk Premium</t>
  </si>
  <si>
    <t>CAPM</t>
  </si>
  <si>
    <t>U.S. Corporate Bond Yield</t>
  </si>
  <si>
    <t>WACC / Loan Readiness</t>
  </si>
  <si>
    <t>Local 10-Year Government Bond Yield</t>
  </si>
  <si>
    <t>Local Market Risk Premium</t>
  </si>
  <si>
    <t>Local Corporate Bond Yield</t>
  </si>
  <si>
    <t>AUDIT LOG - RATES &amp; FX</t>
  </si>
  <si>
    <t>Override Reason</t>
  </si>
  <si>
    <t>Override Date</t>
  </si>
  <si>
    <t>User Initials</t>
  </si>
  <si>
    <t>Purpose in Model</t>
  </si>
  <si>
    <t>FX Rate Log</t>
  </si>
  <si>
    <t>FX Rate</t>
  </si>
  <si>
    <t>AI_Fetched</t>
  </si>
  <si>
    <t>Historical Snapshot</t>
  </si>
  <si>
    <t>Date Logic</t>
  </si>
  <si>
    <t>Previous month</t>
  </si>
  <si>
    <t>Previous quarter</t>
  </si>
  <si>
    <t>Previous year</t>
  </si>
  <si>
    <t>MISSING RATE WARNING SYSTEM</t>
  </si>
  <si>
    <t>Fallback Value</t>
  </si>
  <si>
    <t>Impact on Valuation</t>
  </si>
  <si>
    <t>Manual override or analyst-entered fallback</t>
  </si>
  <si>
    <t>May affect WACC, FX conversion, valuation, and loan readiness outputs</t>
  </si>
  <si>
    <t>HISTORICAL RATE SNAPSHOT</t>
  </si>
  <si>
    <t>Use previous month-end values</t>
  </si>
  <si>
    <t>Enter comparison values as needed</t>
  </si>
  <si>
    <t>Timestamp</t>
  </si>
  <si>
    <t>Success/Fail</t>
  </si>
  <si>
    <t>Fallback Used (Yes/No)</t>
  </si>
  <si>
    <t>Fail</t>
  </si>
  <si>
    <t>ENTITY OWNERSHIP &amp; JV MODELING</t>
  </si>
  <si>
    <t>Entity Name</t>
  </si>
  <si>
    <t>Parent Entity</t>
  </si>
  <si>
    <t>JV Partner Name</t>
  </si>
  <si>
    <t>JV Partner Ownership %</t>
  </si>
  <si>
    <t>Contribution Type</t>
  </si>
  <si>
    <t>Contribution Amount</t>
  </si>
  <si>
    <t>Distribution Rules</t>
  </si>
  <si>
    <t>Waterfall Tier</t>
  </si>
  <si>
    <t>JV / OWNERSHIP SUPPORT NOTES</t>
  </si>
  <si>
    <t>Ownership Trees</t>
  </si>
  <si>
    <t>Supports parent/sub ownership mapping</t>
  </si>
  <si>
    <t>JV Profit Splits</t>
  </si>
  <si>
    <t>Use Ownership % and JV Partner Ownership % for split modeling</t>
  </si>
  <si>
    <t>JV Cash Waterfalls</t>
  </si>
  <si>
    <t>Document distribution rules and waterfall tiers here</t>
  </si>
  <si>
    <t>JV Exit Modeling</t>
  </si>
  <si>
    <t>Capture partner economics and ownership-adjusted consolidation</t>
  </si>
  <si>
    <t>LOAN READINESS</t>
  </si>
  <si>
    <t>Key Formulas</t>
  </si>
  <si>
    <t>DSCR = EBITDA / Total_Debt_Service</t>
  </si>
  <si>
    <t>Interest_Coverage = EBIT / Interest_Expense</t>
  </si>
  <si>
    <t>Fixed_Charge_Coverage = (EBITDA - Capex) / Fixed_Charges</t>
  </si>
  <si>
    <t>Debt_to_EBITDA = Total_Debt / EBITDA</t>
  </si>
  <si>
    <t>Loan_Capacity = EBITDA / Required_DSCR</t>
  </si>
  <si>
    <t>Total_Debt_Service</t>
  </si>
  <si>
    <t>DSCR</t>
  </si>
  <si>
    <t>Interest_Expense</t>
  </si>
  <si>
    <t>Interest_Coverage</t>
  </si>
  <si>
    <t>Fixed_Charges</t>
  </si>
  <si>
    <t>Fixed_Charge_Coverage</t>
  </si>
  <si>
    <t>Total_Debt</t>
  </si>
  <si>
    <t>Debt_to_EBITDA</t>
  </si>
  <si>
    <t>Required_DSCR</t>
  </si>
  <si>
    <t>Loan_Capacity</t>
  </si>
  <si>
    <t>BUSINESS HEALTH SCORE</t>
  </si>
  <si>
    <t>Category</t>
  </si>
  <si>
    <t>Score</t>
  </si>
  <si>
    <t>Weighted Score</t>
  </si>
  <si>
    <t>Profitability</t>
  </si>
  <si>
    <t>Liquidity</t>
  </si>
  <si>
    <t>Leverage</t>
  </si>
  <si>
    <t>Efficiency</t>
  </si>
  <si>
    <t>Cash Flow Stability</t>
  </si>
  <si>
    <t>Growth</t>
  </si>
  <si>
    <t>Total Health Score</t>
  </si>
  <si>
    <t>Strengths</t>
  </si>
  <si>
    <t>Weaknesses</t>
  </si>
  <si>
    <t>Risk Indicators</t>
  </si>
  <si>
    <t>SCENARIO ANALYSIS</t>
  </si>
  <si>
    <t>Selected Scenario</t>
  </si>
  <si>
    <t>Selected Value</t>
  </si>
  <si>
    <t>Assumption</t>
  </si>
  <si>
    <t>Revenue growth</t>
  </si>
  <si>
    <t>Margin changes</t>
  </si>
  <si>
    <t>Expense sensitivity</t>
  </si>
  <si>
    <t>Working capital changes</t>
  </si>
  <si>
    <t>Debt service stress tests</t>
  </si>
  <si>
    <t>Output</t>
  </si>
  <si>
    <t>Projected EBITDA</t>
  </si>
  <si>
    <t>Projected Cash Flow</t>
  </si>
  <si>
    <t>SBA PREP - BUSINESS ONLY</t>
  </si>
  <si>
    <t>Section</t>
  </si>
  <si>
    <t>Detail</t>
  </si>
  <si>
    <t>Status / Warning</t>
  </si>
  <si>
    <t>Ownership structure</t>
  </si>
  <si>
    <t>Reference Entity_Ownership sheet</t>
  </si>
  <si>
    <t>Use of funds</t>
  </si>
  <si>
    <t>Business financial summary</t>
  </si>
  <si>
    <t>Reference Consolidation sheet</t>
  </si>
  <si>
    <t>Debt schedule</t>
  </si>
  <si>
    <t>Reference Loan_Readiness / checklist</t>
  </si>
  <si>
    <t>Collateral summary</t>
  </si>
  <si>
    <t>SBA eligibility checklist</t>
  </si>
  <si>
    <t>EXIT READINESS</t>
  </si>
  <si>
    <t>Metric / Section</t>
  </si>
  <si>
    <t>Warning / Notes</t>
  </si>
  <si>
    <t>Quality of Earnings indicators</t>
  </si>
  <si>
    <t>Document QoE risks and normalization items</t>
  </si>
  <si>
    <t>Buyer red flags</t>
  </si>
  <si>
    <t>List buyer diligence concerns</t>
  </si>
  <si>
    <t>Value drivers</t>
  </si>
  <si>
    <t>List valuation and strategic upside drivers</t>
  </si>
  <si>
    <t>Exit score (0-100)</t>
  </si>
  <si>
    <t>WORKING CAPITAL OPTIMIZATION</t>
  </si>
  <si>
    <t>Metric / Formula</t>
  </si>
  <si>
    <t>DSO</t>
  </si>
  <si>
    <t>DSO = AR / (Revenue/365)</t>
  </si>
  <si>
    <t>DPO</t>
  </si>
  <si>
    <t>DPO = AP / (COGS/365)</t>
  </si>
  <si>
    <t>DIO</t>
  </si>
  <si>
    <t>DIO = Inventory / (COGS/365)</t>
  </si>
  <si>
    <t>Cash_Conversion_Cycle</t>
  </si>
  <si>
    <t>Cash_Conversion_Cycle = DSO + DIO - DPO</t>
  </si>
  <si>
    <t>VALUATION SUMMARY</t>
  </si>
  <si>
    <t>Multiples Value</t>
  </si>
  <si>
    <t>Key KPIs</t>
  </si>
  <si>
    <t>Reference KPIs sheet</t>
  </si>
  <si>
    <t>Key Risks</t>
  </si>
  <si>
    <t>Key Opportunities</t>
  </si>
  <si>
    <t>Narrative Summary</t>
  </si>
  <si>
    <t>DOCUMENT INTAKE CHECKLIST</t>
  </si>
  <si>
    <t>ENTITY DOCUMENT COMPLETENESS</t>
  </si>
  <si>
    <t>Document Category</t>
  </si>
  <si>
    <t>Required Document</t>
  </si>
  <si>
    <t>Received Date</t>
  </si>
  <si>
    <t>Owner</t>
  </si>
  <si>
    <t>Financial Inputs</t>
  </si>
  <si>
    <t>Ownership</t>
  </si>
  <si>
    <t>Debt Schedule</t>
  </si>
  <si>
    <t>Forecast/Budget</t>
  </si>
  <si>
    <t>Missing Count</t>
  </si>
  <si>
    <t>Corporate</t>
  </si>
  <si>
    <t>Articles / Formation Docs</t>
  </si>
  <si>
    <t>Ownership / Cap Table</t>
  </si>
  <si>
    <t>Financial</t>
  </si>
  <si>
    <t>5 Years Income Statement</t>
  </si>
  <si>
    <t>5 Years Balance Sheet</t>
  </si>
  <si>
    <t>5 Years Cash Flow Statement</t>
  </si>
  <si>
    <t>Tax Returns</t>
  </si>
  <si>
    <t>Debt</t>
  </si>
  <si>
    <t>Operations</t>
  </si>
  <si>
    <t>AR Aging</t>
  </si>
  <si>
    <t>AP Aging</t>
  </si>
  <si>
    <t>Inventory Rollforward</t>
  </si>
  <si>
    <t>Valuation</t>
  </si>
  <si>
    <t>Forecast / Budget</t>
  </si>
  <si>
    <t>Collateral</t>
  </si>
  <si>
    <t>Collateral Summary</t>
  </si>
  <si>
    <t>Missing Documents Count</t>
  </si>
  <si>
    <t>VALUATION ANALYSIS - ENTITY 1</t>
  </si>
  <si>
    <t>Rate used for CAPM</t>
  </si>
  <si>
    <t>Entity beta</t>
  </si>
  <si>
    <t>Pre-tax cost of debt</t>
  </si>
  <si>
    <t>Taxes / EBIT</t>
  </si>
  <si>
    <t>Debt / (Debt + Equity)</t>
  </si>
  <si>
    <t>Equity / (Debt + Equity)</t>
  </si>
  <si>
    <t>Weighted average cost of capital</t>
  </si>
  <si>
    <t>FX Rate Used</t>
  </si>
  <si>
    <t>Previous month-end or override</t>
  </si>
  <si>
    <t>USD pre-ownership</t>
  </si>
  <si>
    <t>Blended Value</t>
  </si>
  <si>
    <t>USD ownership-adjusted</t>
  </si>
  <si>
    <t>Sensitivity Table</t>
  </si>
  <si>
    <t>WACC / g</t>
  </si>
  <si>
    <t>g -1%</t>
  </si>
  <si>
    <t>Base g</t>
  </si>
  <si>
    <t>g +1%</t>
  </si>
  <si>
    <t>WACC -1.0%</t>
  </si>
  <si>
    <t>Base WACC</t>
  </si>
  <si>
    <t>WACC +1.0%</t>
  </si>
  <si>
    <t>Local vs U.S. Override Logic</t>
  </si>
  <si>
    <t>If country &lt;&gt; USA and local rate exists, use local for Entity 1</t>
  </si>
  <si>
    <t>VALUATION ANALYSIS - ENTITY 2</t>
  </si>
  <si>
    <t>If country &lt;&gt; USA and local rate exists, use local for Entity 2</t>
  </si>
  <si>
    <t>VALUATION ANALYSIS - ENTITY 3</t>
  </si>
  <si>
    <t>If country &lt;&gt; USA and local rate exists, use local for Entity 3</t>
  </si>
  <si>
    <t>VALUATION ANALYSIS - ENTITY 4</t>
  </si>
  <si>
    <t>If country &lt;&gt; USA and local rate exists, use local for Entity 4</t>
  </si>
  <si>
    <t>VALUATION ANALYSIS - ENTITY 5</t>
  </si>
  <si>
    <t>If country &lt;&gt; USA and local rate exists, use local for Entity 5</t>
  </si>
  <si>
    <t>VALUATION ANALYSIS - ENTITY 6</t>
  </si>
  <si>
    <t>If country &lt;&gt; USA and local rate exists, use local for Entity 6</t>
  </si>
  <si>
    <t>VALUATION ANALYSIS - ENTITY 7</t>
  </si>
  <si>
    <t>If country &lt;&gt; USA and local rate exists, use local for Entity 7</t>
  </si>
  <si>
    <t>VALUATION ANALYSIS - ENTITY 8</t>
  </si>
  <si>
    <t>If country &lt;&gt; USA and local rate exists, use local for Entity 8</t>
  </si>
  <si>
    <t>VALUATION ANALYSIS - ENTITY 9</t>
  </si>
  <si>
    <t>If country &lt;&gt; USA and local rate exists, use local for Entity 9</t>
  </si>
  <si>
    <t>VALUATION ANALYSIS - ENTITY 10</t>
  </si>
  <si>
    <t>If country &lt;&gt; USA and local rate exists, use local for Entity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</si>
</sst>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%"/>
    <numFmt numFmtId="166" formatCode="0.00\x"/>
    <numFmt numFmtId="167" formatCode="0.0\x"/>
    <numFmt numFmtId="168" formatCode="0.000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1" fillId="6" borderId="0" xfId="0" applyFont="1" applyFill="1"/>
    <xf numFmtId="0" fontId="7" fillId="6" borderId="0" xfId="0" applyFont="1" applyFill="1"/>
    <xf numFmtId="9" fontId="0" fillId="0" borderId="0" xfId="0" applyNumberFormat="1"/>
    <xf numFmtId="0" fontId="1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3" fontId="5" fillId="6" borderId="0" xfId="0" applyNumberFormat="1" applyFont="1" applyFill="1"/>
    <xf numFmtId="3" fontId="1" fillId="6" borderId="0" xfId="0" applyNumberFormat="1" applyFont="1" applyFill="1"/>
    <xf numFmtId="165" fontId="0" fillId="6" borderId="0" xfId="0" applyNumberFormat="1" applyFill="1"/>
    <xf numFmtId="166" fontId="0" fillId="6" borderId="0" xfId="0" applyNumberFormat="1" applyFill="1"/>
    <xf numFmtId="3" fontId="0" fillId="6" borderId="0" xfId="0" applyNumberFormat="1" applyFill="1"/>
    <xf numFmtId="3" fontId="2" fillId="6" borderId="0" xfId="0" applyNumberFormat="1" applyFont="1" applyFill="1"/>
    <xf numFmtId="167" fontId="0" fillId="6" borderId="0" xfId="0" applyNumberFormat="1" applyFill="1"/>
    <xf numFmtId="165" fontId="0" fillId="5" borderId="0" xfId="0" applyNumberFormat="1" applyFill="1"/>
    <xf numFmtId="167" fontId="0" fillId="5" borderId="0" xfId="0" applyNumberFormat="1" applyFill="1"/>
    <xf numFmtId="0" fontId="6" fillId="9" borderId="0" xfId="0" applyFont="1" applyFill="1"/>
    <xf numFmtId="0" fontId="0" fillId="11" borderId="0" xfId="0" applyFill="1"/>
    <xf numFmtId="0" fontId="0" fillId="6" borderId="1" xfId="0" applyFill="1" applyBorder="1"/>
    <xf numFmtId="4" fontId="0" fillId="11" borderId="1" xfId="0" applyNumberFormat="1" applyFill="1" applyBorder="1"/>
    <xf numFmtId="0" fontId="12" fillId="6" borderId="1" xfId="0" applyFont="1" applyFill="1" applyBorder="1"/>
    <xf numFmtId="4" fontId="12" fillId="11" borderId="1" xfId="0" applyNumberFormat="1" applyFont="1" applyFill="1" applyBorder="1"/>
    <xf numFmtId="0" fontId="14" fillId="9" borderId="1" xfId="0" applyFont="1" applyFill="1" applyBorder="1"/>
    <xf numFmtId="0" fontId="1" fillId="10" borderId="1" xfId="0" applyFont="1" applyFill="1" applyBorder="1"/>
    <xf numFmtId="0" fontId="0" fillId="11" borderId="1" xfId="0" applyFill="1" applyBorder="1"/>
    <xf numFmtId="165" fontId="0" fillId="11" borderId="1" xfId="0" applyNumberFormat="1" applyFill="1" applyBorder="1"/>
    <xf numFmtId="0" fontId="6" fillId="9" borderId="1" xfId="0" applyFont="1" applyFill="1" applyBorder="1"/>
    <xf numFmtId="14" fontId="0" fillId="6" borderId="1" xfId="0" applyNumberFormat="1" applyFill="1" applyBorder="1"/>
    <xf numFmtId="14" fontId="0" fillId="11" borderId="1" xfId="0" applyNumberFormat="1" applyFill="1" applyBorder="1"/>
    <xf numFmtId="4" fontId="0" fillId="6" borderId="1" xfId="0" applyNumberFormat="1" applyFill="1" applyBorder="1"/>
    <xf numFmtId="166" fontId="0" fillId="6" borderId="1" xfId="0" applyNumberFormat="1" applyFill="1" applyBorder="1"/>
    <xf numFmtId="0" fontId="0" fillId="6" borderId="2" xfId="0" applyFill="1" applyBorder="1"/>
    <xf numFmtId="0" fontId="1" fillId="10" borderId="4" xfId="0" applyFont="1" applyFill="1" applyBorder="1"/>
    <xf numFmtId="0" fontId="0" fillId="6" borderId="4" xfId="0" applyFill="1" applyBorder="1"/>
    <xf numFmtId="0" fontId="0" fillId="11" borderId="4" xfId="0" applyFill="1" applyBorder="1"/>
    <xf numFmtId="0" fontId="6" fillId="9" borderId="2" xfId="0" applyFont="1" applyFill="1" applyBorder="1"/>
    <xf numFmtId="165" fontId="0" fillId="11" borderId="4" xfId="0" applyNumberFormat="1" applyFill="1" applyBorder="1"/>
    <xf numFmtId="0" fontId="1" fillId="10" borderId="6" xfId="0" applyFont="1" applyFill="1" applyBorder="1"/>
    <xf numFmtId="0" fontId="0" fillId="11" borderId="6" xfId="0" applyFill="1" applyBorder="1"/>
    <xf numFmtId="14" fontId="0" fillId="6" borderId="6" xfId="0" applyNumberFormat="1" applyFill="1" applyBorder="1"/>
    <xf numFmtId="168" fontId="0" fillId="6" borderId="6" xfId="0" applyNumberFormat="1" applyFill="1" applyBorder="1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6" fillId="9" borderId="6" xfId="0" applyFont="1" applyFill="1" applyBorder="1"/>
    <xf numFmtId="0" fontId="0" fillId="6" borderId="6" xfId="0" applyFill="1" applyBorder="1"/>
    <xf numFmtId="0" fontId="6" fillId="6" borderId="6" xfId="0" applyFont="1" applyFill="1" applyBorder="1"/>
    <xf numFmtId="4" fontId="0" fillId="6" borderId="6" xfId="0" applyNumberFormat="1" applyFill="1" applyBorder="1"/>
    <xf numFmtId="0" fontId="6" fillId="11" borderId="6" xfId="0" applyFont="1" applyFill="1" applyBorder="1"/>
    <xf numFmtId="10" fontId="0" fillId="6" borderId="6" xfId="0" applyNumberFormat="1" applyFill="1" applyBorder="1"/>
    <xf numFmtId="10" fontId="0" fillId="0" borderId="6" xfId="0" applyNumberFormat="1" applyBorder="1"/>
    <xf numFmtId="0" fontId="0" fillId="6" borderId="9" xfId="0" applyFill="1" applyBorder="1"/>
    <xf numFmtId="166" fontId="0" fillId="6" borderId="6" xfId="0" applyNumberFormat="1" applyFill="1" applyBorder="1"/>
    <xf numFmtId="0" fontId="1" fillId="4" borderId="6" xfId="0" applyFont="1" applyFill="1" applyBorder="1"/>
    <xf numFmtId="0" fontId="1" fillId="6" borderId="6" xfId="0" applyFont="1" applyFill="1" applyBorder="1"/>
    <xf numFmtId="0" fontId="1" fillId="3" borderId="6" xfId="0" applyFont="1" applyFill="1" applyBorder="1"/>
    <xf numFmtId="165" fontId="0" fillId="6" borderId="6" xfId="0" applyNumberFormat="1" applyFill="1" applyBorder="1"/>
    <xf numFmtId="165" fontId="1" fillId="6" borderId="6" xfId="0" applyNumberFormat="1" applyFont="1" applyFill="1" applyBorder="1"/>
    <xf numFmtId="0" fontId="10" fillId="10" borderId="11" xfId="0" applyFont="1" applyFill="1" applyBorder="1"/>
    <xf numFmtId="0" fontId="11" fillId="6" borderId="3" xfId="0" applyFont="1" applyFill="1" applyBorder="1"/>
    <xf numFmtId="0" fontId="11" fillId="6" borderId="5" xfId="0" applyFont="1" applyFill="1" applyBorder="1"/>
    <xf numFmtId="0" fontId="11" fillId="6" borderId="4" xfId="0" applyFont="1" applyFill="1" applyBorder="1"/>
    <xf numFmtId="0" fontId="0" fillId="6" borderId="10" xfId="0" applyFill="1" applyBorder="1"/>
    <xf numFmtId="0" fontId="0" fillId="6" borderId="12" xfId="0" applyFill="1" applyBorder="1"/>
    <xf numFmtId="0" fontId="11" fillId="11" borderId="4" xfId="0" applyFont="1" applyFill="1" applyBorder="1"/>
    <xf numFmtId="0" fontId="11" fillId="11" borderId="7" xfId="0" applyFont="1" applyFill="1" applyBorder="1"/>
    <xf numFmtId="164" fontId="11" fillId="11" borderId="11" xfId="0" applyNumberFormat="1" applyFont="1" applyFill="1" applyBorder="1"/>
    <xf numFmtId="164" fontId="11" fillId="6" borderId="4" xfId="0" applyNumberFormat="1" applyFont="1" applyFill="1" applyBorder="1"/>
    <xf numFmtId="0" fontId="15" fillId="10" borderId="11" xfId="0" applyFont="1" applyFill="1" applyBorder="1"/>
    <xf numFmtId="0" fontId="16" fillId="0" borderId="0" xfId="0" applyFont="1"/>
    <xf numFmtId="0" fontId="17" fillId="6" borderId="4" xfId="0" applyFont="1" applyFill="1" applyBorder="1"/>
    <xf numFmtId="14" fontId="11" fillId="11" borderId="4" xfId="0" applyNumberFormat="1" applyFont="1" applyFill="1" applyBorder="1"/>
    <xf numFmtId="0" fontId="1" fillId="11" borderId="4" xfId="0" applyFont="1" applyFill="1" applyBorder="1"/>
    <xf numFmtId="0" fontId="0" fillId="0" borderId="13" xfId="0" applyBorder="1"/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11" borderId="6" xfId="0" applyFill="1" applyBorder="1" applyAlignment="1">
      <alignment horizontal="left"/>
    </xf>
    <xf numFmtId="0" fontId="6" fillId="9" borderId="6" xfId="0" applyFont="1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10" fontId="0" fillId="6" borderId="6" xfId="0" applyNumberFormat="1" applyFill="1" applyBorder="1" applyAlignment="1">
      <alignment horizontal="left"/>
    </xf>
    <xf numFmtId="10" fontId="0" fillId="0" borderId="6" xfId="0" applyNumberFormat="1" applyBorder="1" applyAlignment="1">
      <alignment horizontal="left"/>
    </xf>
    <xf numFmtId="0" fontId="0" fillId="6" borderId="6" xfId="0" applyFill="1" applyBorder="1" applyAlignment="1">
      <alignment horizontal="center"/>
    </xf>
    <xf numFmtId="4" fontId="0" fillId="6" borderId="6" xfId="0" applyNumberForma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7" borderId="6" xfId="0" applyFont="1" applyFill="1" applyBorder="1"/>
    <xf numFmtId="0" fontId="6" fillId="7" borderId="8" xfId="0" applyFont="1" applyFill="1" applyBorder="1"/>
    <xf numFmtId="0" fontId="6" fillId="7" borderId="10" xfId="0" applyFont="1" applyFill="1" applyBorder="1"/>
    <xf numFmtId="165" fontId="0" fillId="6" borderId="13" xfId="0" applyNumberFormat="1" applyFill="1" applyBorder="1"/>
    <xf numFmtId="0" fontId="1" fillId="3" borderId="12" xfId="0" applyFont="1" applyFill="1" applyBorder="1"/>
    <xf numFmtId="0" fontId="11" fillId="6" borderId="6" xfId="0" applyFont="1" applyFill="1" applyBorder="1"/>
    <xf numFmtId="165" fontId="11" fillId="6" borderId="6" xfId="0" applyNumberFormat="1" applyFont="1" applyFill="1" applyBorder="1"/>
    <xf numFmtId="0" fontId="3" fillId="2" borderId="0" xfId="0" applyFont="1" applyFill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3" fillId="10" borderId="1" xfId="0" applyFont="1" applyFill="1" applyBorder="1"/>
    <xf numFmtId="0" fontId="6" fillId="7" borderId="0" xfId="0" applyFont="1" applyFill="1"/>
    <xf numFmtId="0" fontId="6" fillId="8" borderId="0" xfId="0" applyFont="1" applyFill="1"/>
    <xf numFmtId="0" fontId="9" fillId="2" borderId="0" xfId="0" applyFont="1" applyFill="1" applyAlignment="1">
      <alignment horizontal="center"/>
    </xf>
    <xf numFmtId="0" fontId="0" fillId="0" borderId="6" xfId="0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0" borderId="6" xfId="0" applyBorder="1"/>
    <xf numFmtId="0" fontId="0" fillId="6" borderId="6" xfId="0" applyFill="1" applyBorder="1"/>
  </cellXfs>
  <cellStyles count="1">
    <cellStyle name="Normal" xfId="0" builtinId="0"/>
  </cellStyles>
  <dxfs count="11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6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600"/>
      </font>
      <fill>
        <patternFill patternType="solid">
          <fgColor indexed="64"/>
          <bgColor rgb="FFC6EFCE"/>
        </patternFill>
      </fill>
    </dxf>
    <dxf>
      <font>
        <color rgb="FFCC0000"/>
      </font>
    </dxf>
    <dxf>
      <font>
        <color rgb="FF0066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Charts!$B$6:$F$6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0-487A-B5E2-57831D6DA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368648"/>
        <c:axId val="1401850376"/>
      </c:barChart>
      <c:catAx>
        <c:axId val="1152368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50376"/>
        <c:crosses val="autoZero"/>
        <c:auto val="1"/>
        <c:lblAlgn val="ctr"/>
        <c:lblOffset val="100"/>
        <c:noMultiLvlLbl val="0"/>
      </c:catAx>
      <c:valAx>
        <c:axId val="140185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68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Margin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Charts!$B$11:$F$11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E-467D-8E06-4A7BC8D9F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4520968"/>
        <c:axId val="1564523016"/>
      </c:lineChart>
      <c:catAx>
        <c:axId val="1564520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23016"/>
        <c:crosses val="autoZero"/>
        <c:auto val="1"/>
        <c:lblAlgn val="ctr"/>
        <c:lblOffset val="100"/>
        <c:noMultiLvlLbl val="0"/>
      </c:catAx>
      <c:valAx>
        <c:axId val="156452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20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Charts!$B$14:$F$14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6-4302-828C-987719F59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2633096"/>
        <c:axId val="1852635144"/>
      </c:barChart>
      <c:catAx>
        <c:axId val="1852633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35144"/>
        <c:crosses val="autoZero"/>
        <c:auto val="1"/>
        <c:lblAlgn val="ctr"/>
        <c:lblOffset val="100"/>
        <c:noMultiLvlLbl val="0"/>
      </c:catAx>
      <c:valAx>
        <c:axId val="185263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33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Working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Charts!$B$19:$F$19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5-4003-9A9F-4734B982A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723080"/>
        <c:axId val="1894729224"/>
      </c:barChart>
      <c:catAx>
        <c:axId val="1894723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29224"/>
        <c:crosses val="autoZero"/>
        <c:auto val="1"/>
        <c:lblAlgn val="ctr"/>
        <c:lblOffset val="100"/>
        <c:noMultiLvlLbl val="0"/>
      </c:catAx>
      <c:valAx>
        <c:axId val="189472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23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 Methods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Charts!$B$22:$D$22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C-4EA5-AB75-9E673BBAD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4812680"/>
        <c:axId val="1894818824"/>
      </c:barChart>
      <c:catAx>
        <c:axId val="189481268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818824"/>
        <c:crosses val="autoZero"/>
        <c:auto val="1"/>
        <c:lblAlgn val="ctr"/>
        <c:lblOffset val="100"/>
        <c:noMultiLvlLbl val="0"/>
      </c:catAx>
      <c:valAx>
        <c:axId val="1894818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812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Benchmark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Charts!$A$25:$A$27</c:f>
              <c:strCache>
                <c:ptCount val="3"/>
                <c:pt idx="0">
                  <c:v>EBITDA Margin</c:v>
                </c:pt>
                <c:pt idx="1">
                  <c:v>Net Margin</c:v>
                </c:pt>
                <c:pt idx="2">
                  <c:v>Revenue Growth</c:v>
                </c:pt>
              </c:strCache>
            </c:strRef>
          </c:cat>
          <c:val>
            <c:numRef>
              <c:f>Charts!$B$25:$B$27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A-4DB9-A1A3-771621FC853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Charts!$A$25:$A$27</c:f>
              <c:strCache>
                <c:ptCount val="3"/>
                <c:pt idx="0">
                  <c:v>EBITDA Margin</c:v>
                </c:pt>
                <c:pt idx="1">
                  <c:v>Net Margin</c:v>
                </c:pt>
                <c:pt idx="2">
                  <c:v>Revenue Growth</c:v>
                </c:pt>
              </c:strCache>
            </c:strRef>
          </c:cat>
          <c:val>
            <c:numRef>
              <c:f>Charts!$C$25:$C$27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A-4DB9-A1A3-771621FC8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4984200"/>
        <c:axId val="1894986248"/>
      </c:barChart>
      <c:catAx>
        <c:axId val="1894984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86248"/>
        <c:crosses val="autoZero"/>
        <c:auto val="1"/>
        <c:lblAlgn val="ctr"/>
        <c:lblOffset val="100"/>
        <c:noMultiLvlLbl val="0"/>
      </c:catAx>
      <c:valAx>
        <c:axId val="1894986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8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BFC2C-41FD-D5FF-249D-EE19106CC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1561F8-6CF5-A4C9-BBEF-B4CF2173D9EF}"/>
            </a:ext>
            <a:ext uri="{147F2762-F138-4A5C-976F-8EAC2B608ADB}">
              <a16:predDERef xmlns:a16="http://schemas.microsoft.com/office/drawing/2014/main" pred="{335BFC2C-41FD-D5FF-249D-EE19106CC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825162-ACE6-A377-B7DC-3A31335EBA40}"/>
            </a:ext>
            <a:ext uri="{147F2762-F138-4A5C-976F-8EAC2B608ADB}">
              <a16:predDERef xmlns:a16="http://schemas.microsoft.com/office/drawing/2014/main" pred="{1E1561F8-6CF5-A4C9-BBEF-B4CF2173D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16</xdr:row>
      <xdr:rowOff>0</xdr:rowOff>
    </xdr:from>
    <xdr:to>
      <xdr:col>21</xdr:col>
      <xdr:colOff>0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C5AB68-79B4-4137-A07A-D31DB5A2800D}"/>
            </a:ext>
            <a:ext uri="{147F2762-F138-4A5C-976F-8EAC2B608ADB}">
              <a16:predDERef xmlns:a16="http://schemas.microsoft.com/office/drawing/2014/main" pred="{8E825162-ACE6-A377-B7DC-3A31335EB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CB2CE2-1169-2FDA-2B70-C2D20C47C783}"/>
            </a:ext>
            <a:ext uri="{147F2762-F138-4A5C-976F-8EAC2B608ADB}">
              <a16:predDERef xmlns:a16="http://schemas.microsoft.com/office/drawing/2014/main" pred="{F0C5AB68-79B4-4137-A07A-D31DB5A28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30</xdr:row>
      <xdr:rowOff>0</xdr:rowOff>
    </xdr:from>
    <xdr:to>
      <xdr:col>21</xdr:col>
      <xdr:colOff>0</xdr:colOff>
      <xdr:row>43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8AD9E5-6121-91DD-67AB-331B53CF399B}"/>
            </a:ext>
            <a:ext uri="{147F2762-F138-4A5C-976F-8EAC2B608ADB}">
              <a16:predDERef xmlns:a16="http://schemas.microsoft.com/office/drawing/2014/main" pred="{B5CB2CE2-1169-2FDA-2B70-C2D20C47C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F47BD0-2E67-4DF2-B651-C64B55DF9156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0018-DC47-4FDD-BAD6-037004DBE79D}">
  <dimension ref="A1:W11"/>
  <sheetViews>
    <sheetView workbookViewId="0">
      <selection sqref="A1:B1"/>
    </sheetView>
  </sheetViews>
  <sheetFormatPr defaultRowHeight="14.4" x14ac:dyDescent="0.3"/>
  <sheetData>
    <row r="1" spans="1:23" ht="18" x14ac:dyDescent="0.35">
      <c r="A1" s="99" t="s">
        <v>0</v>
      </c>
      <c r="B1" s="99"/>
      <c r="J1" s="63" t="s">
        <v>1</v>
      </c>
      <c r="K1" s="63" t="s">
        <v>2</v>
      </c>
      <c r="L1" s="63" t="s">
        <v>3</v>
      </c>
      <c r="M1" s="63" t="s">
        <v>4</v>
      </c>
      <c r="N1" s="73" t="s">
        <v>5</v>
      </c>
      <c r="O1" s="73" t="s">
        <v>6</v>
      </c>
      <c r="P1" s="73" t="s">
        <v>7</v>
      </c>
      <c r="Q1" s="73" t="s">
        <v>8</v>
      </c>
      <c r="R1" s="73" t="s">
        <v>9</v>
      </c>
      <c r="S1" s="73" t="s">
        <v>10</v>
      </c>
      <c r="T1" s="74" t="s">
        <v>11</v>
      </c>
      <c r="U1" s="74" t="s">
        <v>12</v>
      </c>
      <c r="V1" s="74" t="s">
        <v>13</v>
      </c>
      <c r="W1" s="74" t="s">
        <v>14</v>
      </c>
    </row>
    <row r="2" spans="1:23" x14ac:dyDescent="0.3">
      <c r="A2" s="2" t="s">
        <v>15</v>
      </c>
      <c r="B2" s="2" t="s">
        <v>16</v>
      </c>
      <c r="J2" s="66" t="s">
        <v>6</v>
      </c>
      <c r="K2" s="66" t="s">
        <v>17</v>
      </c>
      <c r="L2" s="66" t="s">
        <v>18</v>
      </c>
      <c r="M2" s="66" t="s">
        <v>19</v>
      </c>
      <c r="N2" s="75" t="s">
        <v>20</v>
      </c>
      <c r="O2" s="75" t="s">
        <v>17</v>
      </c>
      <c r="P2" s="75" t="s">
        <v>21</v>
      </c>
      <c r="Q2" s="75" t="s">
        <v>22</v>
      </c>
      <c r="R2" s="75" t="s">
        <v>23</v>
      </c>
      <c r="S2" s="75" t="s">
        <v>24</v>
      </c>
      <c r="T2" s="74" t="s">
        <v>25</v>
      </c>
      <c r="U2" s="74" t="s">
        <v>26</v>
      </c>
      <c r="V2" s="74" t="s">
        <v>27</v>
      </c>
      <c r="W2" s="74"/>
    </row>
    <row r="3" spans="1:23" x14ac:dyDescent="0.3">
      <c r="A3" s="3" t="s">
        <v>28</v>
      </c>
      <c r="B3" s="4"/>
      <c r="J3" s="66" t="s">
        <v>7</v>
      </c>
      <c r="K3" s="66" t="s">
        <v>21</v>
      </c>
      <c r="L3" s="66" t="s">
        <v>29</v>
      </c>
      <c r="M3" s="66" t="s">
        <v>30</v>
      </c>
      <c r="N3" s="75" t="s">
        <v>31</v>
      </c>
      <c r="O3" s="75" t="s">
        <v>32</v>
      </c>
      <c r="P3" s="75" t="s">
        <v>33</v>
      </c>
      <c r="Q3" s="75" t="s">
        <v>34</v>
      </c>
      <c r="R3" s="75" t="s">
        <v>35</v>
      </c>
      <c r="S3" s="75"/>
      <c r="T3" s="74"/>
      <c r="U3" s="74"/>
      <c r="V3" s="74"/>
      <c r="W3" s="74"/>
    </row>
    <row r="4" spans="1:23" x14ac:dyDescent="0.3">
      <c r="A4" s="3" t="s">
        <v>36</v>
      </c>
      <c r="B4" s="4"/>
      <c r="J4" s="66" t="s">
        <v>8</v>
      </c>
      <c r="K4" s="66" t="s">
        <v>22</v>
      </c>
      <c r="L4" s="66"/>
      <c r="M4" s="66"/>
      <c r="N4" s="75" t="s">
        <v>37</v>
      </c>
      <c r="O4" s="75" t="s">
        <v>38</v>
      </c>
      <c r="P4" s="75" t="s">
        <v>39</v>
      </c>
      <c r="Q4" s="75" t="s">
        <v>40</v>
      </c>
      <c r="R4" s="75" t="s">
        <v>41</v>
      </c>
      <c r="S4" s="75"/>
      <c r="T4" s="74"/>
      <c r="U4" s="74"/>
      <c r="V4" s="74"/>
      <c r="W4" s="74"/>
    </row>
    <row r="5" spans="1:23" x14ac:dyDescent="0.3">
      <c r="A5" s="3" t="s">
        <v>42</v>
      </c>
      <c r="B5" s="4"/>
      <c r="J5" s="66" t="s">
        <v>9</v>
      </c>
      <c r="K5" s="66" t="s">
        <v>23</v>
      </c>
      <c r="L5" s="66"/>
      <c r="M5" s="66"/>
      <c r="N5" s="75" t="s">
        <v>43</v>
      </c>
      <c r="O5" s="75" t="s">
        <v>44</v>
      </c>
      <c r="P5" s="75" t="s">
        <v>45</v>
      </c>
      <c r="Q5" s="75" t="s">
        <v>46</v>
      </c>
      <c r="R5" s="75" t="s">
        <v>47</v>
      </c>
      <c r="S5" s="75"/>
      <c r="T5" s="74"/>
      <c r="U5" s="74"/>
      <c r="V5" s="74"/>
      <c r="W5" s="74"/>
    </row>
    <row r="6" spans="1:23" x14ac:dyDescent="0.3">
      <c r="A6" s="3" t="s">
        <v>48</v>
      </c>
      <c r="B6" s="4"/>
      <c r="J6" s="66" t="s">
        <v>10</v>
      </c>
      <c r="K6" s="66" t="s">
        <v>24</v>
      </c>
      <c r="L6" s="66"/>
      <c r="M6" s="66"/>
      <c r="N6" s="75" t="s">
        <v>49</v>
      </c>
      <c r="O6" s="75" t="s">
        <v>19</v>
      </c>
      <c r="P6" s="75" t="s">
        <v>30</v>
      </c>
      <c r="Q6" s="75"/>
      <c r="R6" s="75"/>
      <c r="S6" s="75"/>
      <c r="T6" s="74"/>
      <c r="U6" s="74"/>
      <c r="V6" s="74"/>
      <c r="W6" s="74"/>
    </row>
    <row r="7" spans="1:23" x14ac:dyDescent="0.3">
      <c r="A7" s="3" t="s">
        <v>50</v>
      </c>
      <c r="B7" s="4"/>
      <c r="J7" s="66" t="s">
        <v>51</v>
      </c>
      <c r="K7" s="66" t="s">
        <v>25</v>
      </c>
      <c r="L7" s="66"/>
      <c r="M7" s="66"/>
      <c r="N7" s="75" t="s">
        <v>52</v>
      </c>
      <c r="O7" s="75" t="s">
        <v>53</v>
      </c>
      <c r="P7" s="75" t="s">
        <v>54</v>
      </c>
      <c r="Q7" s="75" t="s">
        <v>55</v>
      </c>
      <c r="R7" s="75" t="s">
        <v>56</v>
      </c>
      <c r="S7" s="75"/>
      <c r="T7" s="74"/>
      <c r="U7" s="74"/>
      <c r="V7" s="74"/>
      <c r="W7" s="74"/>
    </row>
    <row r="8" spans="1:23" x14ac:dyDescent="0.3">
      <c r="A8" s="3" t="s">
        <v>57</v>
      </c>
      <c r="B8" s="4"/>
      <c r="J8" s="66" t="s">
        <v>11</v>
      </c>
      <c r="K8" s="66" t="s">
        <v>58</v>
      </c>
      <c r="L8" s="66"/>
      <c r="M8" s="66"/>
      <c r="N8" s="75" t="s">
        <v>59</v>
      </c>
      <c r="O8" s="75" t="s">
        <v>60</v>
      </c>
      <c r="P8" s="75" t="s">
        <v>61</v>
      </c>
      <c r="Q8" s="75" t="s">
        <v>62</v>
      </c>
      <c r="R8" s="75" t="s">
        <v>63</v>
      </c>
      <c r="S8" s="75"/>
      <c r="T8" s="74"/>
      <c r="U8" s="74"/>
      <c r="V8" s="74"/>
      <c r="W8" s="74"/>
    </row>
    <row r="9" spans="1:23" x14ac:dyDescent="0.3">
      <c r="A9" s="3" t="s">
        <v>64</v>
      </c>
      <c r="B9" s="4"/>
      <c r="J9" s="66" t="s">
        <v>12</v>
      </c>
      <c r="K9" s="66" t="s">
        <v>26</v>
      </c>
      <c r="L9" s="66"/>
      <c r="M9" s="66"/>
      <c r="N9" s="75" t="s">
        <v>65</v>
      </c>
      <c r="O9" s="75" t="s">
        <v>66</v>
      </c>
      <c r="P9" s="75" t="s">
        <v>67</v>
      </c>
      <c r="Q9" s="75" t="s">
        <v>68</v>
      </c>
      <c r="R9" s="75"/>
      <c r="S9" s="75"/>
      <c r="T9" s="74"/>
      <c r="U9" s="74"/>
      <c r="V9" s="74"/>
      <c r="W9" s="74"/>
    </row>
    <row r="10" spans="1:23" x14ac:dyDescent="0.3">
      <c r="A10" s="3" t="s">
        <v>69</v>
      </c>
      <c r="B10" s="4">
        <v>10</v>
      </c>
      <c r="J10" s="66" t="s">
        <v>13</v>
      </c>
      <c r="K10" s="66" t="s">
        <v>70</v>
      </c>
      <c r="L10" s="66"/>
      <c r="M10" s="66"/>
      <c r="N10" s="75" t="s">
        <v>71</v>
      </c>
      <c r="O10" s="75" t="s">
        <v>18</v>
      </c>
      <c r="P10" s="75" t="s">
        <v>29</v>
      </c>
      <c r="Q10" s="75"/>
      <c r="R10" s="75"/>
      <c r="S10" s="75"/>
      <c r="T10" s="74"/>
      <c r="U10" s="74"/>
      <c r="V10" s="74"/>
      <c r="W10" s="74"/>
    </row>
    <row r="11" spans="1:23" x14ac:dyDescent="0.3">
      <c r="J11" s="66" t="s">
        <v>72</v>
      </c>
      <c r="K11" s="66" t="s">
        <v>27</v>
      </c>
      <c r="L11" s="66"/>
      <c r="M11" s="66"/>
      <c r="N11" s="75" t="s">
        <v>73</v>
      </c>
      <c r="O11" s="75" t="s">
        <v>74</v>
      </c>
      <c r="P11" s="75" t="s">
        <v>75</v>
      </c>
      <c r="Q11" s="75" t="s">
        <v>76</v>
      </c>
      <c r="R11" s="75" t="s">
        <v>77</v>
      </c>
      <c r="S11" s="75" t="s">
        <v>78</v>
      </c>
      <c r="T11" s="74" t="s">
        <v>79</v>
      </c>
      <c r="U11" s="74" t="s">
        <v>80</v>
      </c>
      <c r="V11" s="74" t="s">
        <v>81</v>
      </c>
      <c r="W11" s="74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3549-273B-4E2A-BE5C-E277FC455AB0}">
  <dimension ref="A1:J24"/>
  <sheetViews>
    <sheetView workbookViewId="0">
      <selection sqref="A1:G1"/>
    </sheetView>
  </sheetViews>
  <sheetFormatPr defaultRowHeight="14.4" x14ac:dyDescent="0.3"/>
  <cols>
    <col min="1" max="1" width="29.6640625" bestFit="1" customWidth="1"/>
    <col min="2" max="2" width="67.88671875" bestFit="1" customWidth="1"/>
    <col min="3" max="3" width="24.33203125" bestFit="1" customWidth="1"/>
    <col min="4" max="4" width="10.33203125" bestFit="1" customWidth="1"/>
    <col min="5" max="5" width="18" bestFit="1" customWidth="1"/>
    <col min="6" max="6" width="22.44140625" bestFit="1" customWidth="1"/>
    <col min="7" max="7" width="28.44140625" bestFit="1" customWidth="1"/>
    <col min="9" max="9" width="18.44140625" bestFit="1" customWidth="1"/>
    <col min="10" max="10" width="17" bestFit="1" customWidth="1"/>
  </cols>
  <sheetData>
    <row r="1" spans="1:10" x14ac:dyDescent="0.3">
      <c r="A1" s="31" t="s">
        <v>82</v>
      </c>
      <c r="B1" s="31"/>
      <c r="C1" s="31"/>
      <c r="D1" s="31"/>
      <c r="E1" s="31"/>
      <c r="F1" s="31"/>
      <c r="G1" s="31"/>
      <c r="H1" s="5"/>
      <c r="I1" s="31" t="s">
        <v>83</v>
      </c>
      <c r="J1" s="31"/>
    </row>
    <row r="2" spans="1:10" x14ac:dyDescent="0.3">
      <c r="A2" s="36"/>
      <c r="B2" s="36"/>
      <c r="C2" s="36"/>
      <c r="D2" s="36"/>
      <c r="E2" s="36"/>
      <c r="F2" s="36"/>
      <c r="G2" s="36"/>
      <c r="H2" s="5"/>
      <c r="I2" s="36"/>
      <c r="J2" s="36"/>
    </row>
    <row r="3" spans="1:10" x14ac:dyDescent="0.3">
      <c r="A3" s="63" t="s">
        <v>84</v>
      </c>
      <c r="B3" s="63" t="s">
        <v>85</v>
      </c>
      <c r="C3" s="63" t="s">
        <v>86</v>
      </c>
      <c r="D3" s="63" t="s">
        <v>87</v>
      </c>
      <c r="E3" s="63" t="s">
        <v>88</v>
      </c>
      <c r="F3" s="63" t="s">
        <v>89</v>
      </c>
      <c r="G3" s="63" t="s">
        <v>90</v>
      </c>
      <c r="H3" s="56"/>
      <c r="I3" s="63" t="s">
        <v>15</v>
      </c>
      <c r="J3" s="63" t="s">
        <v>91</v>
      </c>
    </row>
    <row r="4" spans="1:10" x14ac:dyDescent="0.3">
      <c r="A4" s="64" t="s">
        <v>74</v>
      </c>
      <c r="B4" s="69"/>
      <c r="C4" s="72"/>
      <c r="D4" s="66"/>
      <c r="E4" s="66" t="str">
        <f t="shared" ref="E4:E13" si="0">IF(OR(B4="",D4=""),"","Yes")</f>
        <v/>
      </c>
      <c r="F4" s="69"/>
      <c r="G4" s="65" t="str">
        <f t="shared" ref="G4:G13" si="1">IF(B4="","WARNING: Missing Currency Data",IF(C4="","WARNING: Missing FX Rate",""))</f>
        <v>WARNING: Missing Currency Data</v>
      </c>
      <c r="H4" s="56"/>
      <c r="I4" s="64" t="s">
        <v>48</v>
      </c>
      <c r="J4" s="66" t="str">
        <f>IF(Client_Info!B6="","",Client_Info!B6)</f>
        <v/>
      </c>
    </row>
    <row r="5" spans="1:10" x14ac:dyDescent="0.3">
      <c r="A5" s="64" t="s">
        <v>75</v>
      </c>
      <c r="B5" s="69"/>
      <c r="C5" s="72"/>
      <c r="D5" s="66"/>
      <c r="E5" s="66" t="str">
        <f t="shared" si="0"/>
        <v/>
      </c>
      <c r="F5" s="69"/>
      <c r="G5" s="65" t="str">
        <f t="shared" si="1"/>
        <v>WARNING: Missing Currency Data</v>
      </c>
      <c r="H5" s="56"/>
      <c r="I5" s="64" t="s">
        <v>92</v>
      </c>
      <c r="J5" s="70"/>
    </row>
    <row r="6" spans="1:10" x14ac:dyDescent="0.3">
      <c r="A6" s="64" t="s">
        <v>76</v>
      </c>
      <c r="B6" s="69"/>
      <c r="C6" s="72"/>
      <c r="D6" s="66"/>
      <c r="E6" s="66" t="str">
        <f t="shared" si="0"/>
        <v/>
      </c>
      <c r="F6" s="69"/>
      <c r="G6" s="65" t="str">
        <f t="shared" si="1"/>
        <v>WARNING: Missing Currency Data</v>
      </c>
      <c r="H6" s="56"/>
      <c r="I6" s="64" t="s">
        <v>93</v>
      </c>
      <c r="J6" s="76">
        <f ca="1">EOMONTH(TODAY(),-1)</f>
        <v>46142</v>
      </c>
    </row>
    <row r="7" spans="1:10" x14ac:dyDescent="0.3">
      <c r="A7" s="64" t="s">
        <v>77</v>
      </c>
      <c r="B7" s="69"/>
      <c r="C7" s="72"/>
      <c r="D7" s="66"/>
      <c r="E7" s="66" t="str">
        <f t="shared" si="0"/>
        <v/>
      </c>
      <c r="F7" s="69"/>
      <c r="G7" s="65" t="str">
        <f t="shared" si="1"/>
        <v>WARNING: Missing Currency Data</v>
      </c>
      <c r="H7" s="56"/>
      <c r="I7" s="64" t="s">
        <v>94</v>
      </c>
      <c r="J7" s="71"/>
    </row>
    <row r="8" spans="1:10" x14ac:dyDescent="0.3">
      <c r="A8" s="64" t="s">
        <v>78</v>
      </c>
      <c r="B8" s="69"/>
      <c r="C8" s="72"/>
      <c r="D8" s="66"/>
      <c r="E8" s="66" t="str">
        <f t="shared" si="0"/>
        <v/>
      </c>
      <c r="F8" s="69"/>
      <c r="G8" s="65" t="str">
        <f t="shared" si="1"/>
        <v>WARNING: Missing Currency Data</v>
      </c>
      <c r="H8" s="56"/>
      <c r="I8" s="64" t="s">
        <v>95</v>
      </c>
      <c r="J8" s="72" t="str">
        <f>IF($J$4="","",IFERROR(INDEX($C$4:$C$13,MATCH($J$4,$B$4:$B$13,0)),""))</f>
        <v/>
      </c>
    </row>
    <row r="9" spans="1:10" x14ac:dyDescent="0.3">
      <c r="A9" s="64" t="s">
        <v>79</v>
      </c>
      <c r="B9" s="69"/>
      <c r="C9" s="72"/>
      <c r="D9" s="66"/>
      <c r="E9" s="66" t="str">
        <f t="shared" si="0"/>
        <v/>
      </c>
      <c r="F9" s="69"/>
      <c r="G9" s="65" t="str">
        <f t="shared" si="1"/>
        <v>WARNING: Missing Currency Data</v>
      </c>
      <c r="H9" s="56"/>
      <c r="I9" s="64" t="s">
        <v>96</v>
      </c>
      <c r="J9" s="72" t="str">
        <f>IF(NR_FX_Source="Manual",NR_USD_Rate,NR_FX_Auto)</f>
        <v/>
      </c>
    </row>
    <row r="10" spans="1:10" x14ac:dyDescent="0.3">
      <c r="A10" s="64" t="s">
        <v>80</v>
      </c>
      <c r="B10" s="69"/>
      <c r="C10" s="72"/>
      <c r="D10" s="66"/>
      <c r="E10" s="66" t="str">
        <f t="shared" si="0"/>
        <v/>
      </c>
      <c r="F10" s="69"/>
      <c r="G10" s="65" t="str">
        <f t="shared" si="1"/>
        <v>WARNING: Missing Currency Data</v>
      </c>
      <c r="H10" s="67"/>
      <c r="I10" s="68"/>
      <c r="J10" s="68"/>
    </row>
    <row r="11" spans="1:10" x14ac:dyDescent="0.3">
      <c r="A11" s="64" t="s">
        <v>81</v>
      </c>
      <c r="B11" s="69"/>
      <c r="C11" s="72"/>
      <c r="D11" s="66"/>
      <c r="E11" s="66" t="str">
        <f t="shared" si="0"/>
        <v/>
      </c>
      <c r="F11" s="69"/>
      <c r="G11" s="65" t="str">
        <f t="shared" si="1"/>
        <v>WARNING: Missing Currency Data</v>
      </c>
      <c r="H11" s="67"/>
      <c r="I11" s="50"/>
      <c r="J11" s="50"/>
    </row>
    <row r="12" spans="1:10" x14ac:dyDescent="0.3">
      <c r="A12" s="64" t="s">
        <v>97</v>
      </c>
      <c r="B12" s="69"/>
      <c r="C12" s="72"/>
      <c r="D12" s="66"/>
      <c r="E12" s="66" t="str">
        <f t="shared" si="0"/>
        <v/>
      </c>
      <c r="F12" s="69"/>
      <c r="G12" s="65" t="str">
        <f t="shared" si="1"/>
        <v>WARNING: Missing Currency Data</v>
      </c>
      <c r="H12" s="67"/>
      <c r="I12" s="50"/>
      <c r="J12" s="50"/>
    </row>
    <row r="13" spans="1:10" x14ac:dyDescent="0.3">
      <c r="A13" s="64" t="s">
        <v>14</v>
      </c>
      <c r="B13" s="69"/>
      <c r="C13" s="72"/>
      <c r="D13" s="66"/>
      <c r="E13" s="66" t="str">
        <f t="shared" si="0"/>
        <v/>
      </c>
      <c r="F13" s="69"/>
      <c r="G13" s="65" t="str">
        <f t="shared" si="1"/>
        <v>WARNING: Missing Currency Data</v>
      </c>
      <c r="H13" s="67"/>
      <c r="I13" s="50"/>
      <c r="J13" s="50"/>
    </row>
    <row r="14" spans="1:10" x14ac:dyDescent="0.3">
      <c r="A14" s="68"/>
      <c r="B14" s="68"/>
      <c r="C14" s="68"/>
      <c r="D14" s="68"/>
      <c r="E14" s="68"/>
      <c r="F14" s="68"/>
      <c r="G14" s="68"/>
      <c r="H14" s="50"/>
      <c r="I14" s="50"/>
      <c r="J14" s="50"/>
    </row>
    <row r="15" spans="1:10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</row>
    <row r="16" spans="1:10" x14ac:dyDescent="0.3">
      <c r="A16" s="42" t="s">
        <v>98</v>
      </c>
      <c r="B16" s="42"/>
      <c r="C16" s="42"/>
      <c r="D16" s="42"/>
      <c r="E16" s="42"/>
      <c r="F16" s="42"/>
      <c r="G16" s="42"/>
      <c r="H16" s="50"/>
      <c r="I16" s="50"/>
      <c r="J16" s="50"/>
    </row>
    <row r="17" spans="1:10" x14ac:dyDescent="0.3">
      <c r="A17" s="50" t="s">
        <v>99</v>
      </c>
      <c r="B17" s="50"/>
      <c r="C17" s="50"/>
      <c r="D17" s="50"/>
      <c r="E17" s="50"/>
      <c r="F17" s="50"/>
      <c r="G17" s="50"/>
      <c r="H17" s="50"/>
      <c r="I17" s="50"/>
      <c r="J17" s="50"/>
    </row>
    <row r="18" spans="1:10" x14ac:dyDescent="0.3">
      <c r="A18" s="50" t="s">
        <v>100</v>
      </c>
      <c r="B18" s="50"/>
      <c r="C18" s="50"/>
      <c r="D18" s="50"/>
      <c r="E18" s="50"/>
      <c r="F18" s="50"/>
      <c r="G18" s="50"/>
      <c r="H18" s="50"/>
      <c r="I18" s="50"/>
      <c r="J18" s="50"/>
    </row>
    <row r="19" spans="1:10" x14ac:dyDescent="0.3">
      <c r="A19" s="50" t="s">
        <v>101</v>
      </c>
      <c r="B19" s="50" t="s">
        <v>102</v>
      </c>
      <c r="C19" s="50"/>
      <c r="D19" s="50"/>
      <c r="E19" s="50"/>
      <c r="F19" s="50"/>
      <c r="G19" s="50"/>
      <c r="H19" s="50"/>
      <c r="I19" s="50"/>
      <c r="J19" s="50"/>
    </row>
    <row r="20" spans="1:10" x14ac:dyDescent="0.3">
      <c r="A20" s="50" t="s">
        <v>103</v>
      </c>
      <c r="B20" s="50" t="s">
        <v>104</v>
      </c>
      <c r="C20" s="50"/>
      <c r="D20" s="50"/>
      <c r="E20" s="50"/>
      <c r="F20" s="50"/>
      <c r="G20" s="50"/>
      <c r="H20" s="50"/>
      <c r="I20" s="50"/>
      <c r="J20" s="50"/>
    </row>
    <row r="21" spans="1:10" x14ac:dyDescent="0.3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3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3">
      <c r="A24" s="5"/>
      <c r="B24" s="5"/>
      <c r="C24" s="5"/>
      <c r="D24" s="5"/>
      <c r="E24" s="5"/>
      <c r="F24" s="5"/>
      <c r="G24" s="5"/>
      <c r="H24" s="5"/>
      <c r="I24" s="5"/>
      <c r="J24" s="5"/>
    </row>
  </sheetData>
  <dataValidations count="3">
    <dataValidation type="list" allowBlank="1" showInputMessage="1" showErrorMessage="1" errorTitle="Invalid value" error="Please use the dropdown list or leave the cell blank." promptTitle="Select from list" prompt="Choose a value from the dropdown or leave blank for AI ingestion." sqref="B4:B13" xr:uid="{F09A4DD3-14C1-4F75-A843-E9A31433562D}">
      <formula1>NR_List_Currency</formula1>
    </dataValidation>
    <dataValidation type="list" allowBlank="1" showInputMessage="1" showErrorMessage="1" errorTitle="Invalid value" error="Please use the dropdown list or leave the cell blank." promptTitle="Select from list" prompt="Choose a value from the dropdown or leave blank for AI ingestion." sqref="E4:F13" xr:uid="{3433706F-687B-4270-B0B9-AAC0EB58DB84}">
      <formula1>NR_List_Yes_No</formula1>
    </dataValidation>
    <dataValidation type="list" allowBlank="1" showInputMessage="1" showErrorMessage="1" errorTitle="Invalid value" error="Please use the dropdown list or leave the cell blank." promptTitle="Select from list" prompt="Choose a value from the dropdown or leave blank for AI ingestion." sqref="J5" xr:uid="{D733C739-8D8B-43B7-A63F-89F4079DB398}">
      <formula1>NR_List_FX_Source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A7A9-1FAB-4BC1-A0E7-D3E8D0A6C8B8}">
  <dimension ref="A1:F37"/>
  <sheetViews>
    <sheetView workbookViewId="0">
      <selection sqref="A1:F1"/>
    </sheetView>
  </sheetViews>
  <sheetFormatPr defaultRowHeight="14.4" x14ac:dyDescent="0.3"/>
  <cols>
    <col min="1" max="1" width="21.44140625" bestFit="1" customWidth="1"/>
    <col min="2" max="6" width="6.109375" bestFit="1" customWidth="1"/>
  </cols>
  <sheetData>
    <row r="1" spans="1:6" x14ac:dyDescent="0.3">
      <c r="A1" s="100" t="s">
        <v>105</v>
      </c>
      <c r="B1" s="100"/>
      <c r="C1" s="100"/>
      <c r="D1" s="100"/>
      <c r="E1" s="100"/>
      <c r="F1" s="100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101" t="s">
        <v>106</v>
      </c>
      <c r="B3" s="101"/>
      <c r="C3" s="101"/>
      <c r="D3" s="101"/>
      <c r="E3" s="101"/>
      <c r="F3" s="101"/>
    </row>
    <row r="4" spans="1:6" x14ac:dyDescent="0.3">
      <c r="A4" s="27" t="s">
        <v>107</v>
      </c>
      <c r="B4" s="27" t="s">
        <v>108</v>
      </c>
      <c r="C4" s="27" t="s">
        <v>109</v>
      </c>
      <c r="D4" s="27" t="s">
        <v>110</v>
      </c>
      <c r="E4" s="27" t="s">
        <v>111</v>
      </c>
      <c r="F4" s="27" t="s">
        <v>112</v>
      </c>
    </row>
    <row r="5" spans="1:6" x14ac:dyDescent="0.3">
      <c r="A5" s="25" t="s">
        <v>113</v>
      </c>
      <c r="B5" s="26"/>
      <c r="C5" s="26"/>
      <c r="D5" s="26"/>
      <c r="E5" s="26"/>
      <c r="F5" s="26"/>
    </row>
    <row r="6" spans="1:6" x14ac:dyDescent="0.3">
      <c r="A6" s="25" t="s">
        <v>114</v>
      </c>
      <c r="B6" s="26"/>
      <c r="C6" s="26"/>
      <c r="D6" s="26"/>
      <c r="E6" s="26"/>
      <c r="F6" s="26"/>
    </row>
    <row r="7" spans="1:6" x14ac:dyDescent="0.3">
      <c r="A7" s="25" t="s">
        <v>115</v>
      </c>
      <c r="B7" s="26"/>
      <c r="C7" s="26"/>
      <c r="D7" s="26"/>
      <c r="E7" s="26"/>
      <c r="F7" s="26"/>
    </row>
    <row r="8" spans="1:6" x14ac:dyDescent="0.3">
      <c r="A8" s="25" t="s">
        <v>116</v>
      </c>
      <c r="B8" s="26"/>
      <c r="C8" s="26"/>
      <c r="D8" s="26"/>
      <c r="E8" s="26"/>
      <c r="F8" s="26"/>
    </row>
    <row r="9" spans="1:6" x14ac:dyDescent="0.3">
      <c r="A9" s="25" t="s">
        <v>117</v>
      </c>
      <c r="B9" s="26"/>
      <c r="C9" s="26"/>
      <c r="D9" s="26"/>
      <c r="E9" s="26"/>
      <c r="F9" s="26"/>
    </row>
    <row r="10" spans="1:6" x14ac:dyDescent="0.3">
      <c r="A10" s="25" t="s">
        <v>118</v>
      </c>
      <c r="B10" s="26"/>
      <c r="C10" s="26"/>
      <c r="D10" s="26"/>
      <c r="E10" s="26"/>
      <c r="F10" s="26"/>
    </row>
    <row r="11" spans="1:6" x14ac:dyDescent="0.3">
      <c r="A11" s="25" t="s">
        <v>119</v>
      </c>
      <c r="B11" s="26"/>
      <c r="C11" s="26"/>
      <c r="D11" s="26"/>
      <c r="E11" s="26"/>
      <c r="F11" s="26"/>
    </row>
    <row r="12" spans="1:6" x14ac:dyDescent="0.3">
      <c r="A12" s="25" t="s">
        <v>120</v>
      </c>
      <c r="B12" s="26"/>
      <c r="C12" s="26"/>
      <c r="D12" s="26"/>
      <c r="E12" s="26"/>
      <c r="F12" s="26"/>
    </row>
    <row r="13" spans="1:6" x14ac:dyDescent="0.3">
      <c r="A13" s="25" t="s">
        <v>121</v>
      </c>
      <c r="B13" s="26"/>
      <c r="C13" s="26"/>
      <c r="D13" s="26"/>
      <c r="E13" s="26"/>
      <c r="F13" s="26"/>
    </row>
    <row r="14" spans="1:6" x14ac:dyDescent="0.3">
      <c r="A14" s="25" t="s">
        <v>122</v>
      </c>
      <c r="B14" s="26"/>
      <c r="C14" s="26"/>
      <c r="D14" s="26"/>
      <c r="E14" s="26"/>
      <c r="F14" s="26"/>
    </row>
    <row r="15" spans="1:6" x14ac:dyDescent="0.3">
      <c r="A15" s="25"/>
      <c r="B15" s="25"/>
      <c r="C15" s="25"/>
      <c r="D15" s="25"/>
      <c r="E15" s="25"/>
      <c r="F15" s="25"/>
    </row>
    <row r="16" spans="1:6" x14ac:dyDescent="0.3">
      <c r="A16" s="101" t="s">
        <v>123</v>
      </c>
      <c r="B16" s="101"/>
      <c r="C16" s="101"/>
      <c r="D16" s="101"/>
      <c r="E16" s="101"/>
      <c r="F16" s="101"/>
    </row>
    <row r="17" spans="1:6" x14ac:dyDescent="0.3">
      <c r="A17" s="27" t="s">
        <v>107</v>
      </c>
      <c r="B17" s="27" t="s">
        <v>108</v>
      </c>
      <c r="C17" s="27" t="s">
        <v>109</v>
      </c>
      <c r="D17" s="27" t="s">
        <v>110</v>
      </c>
      <c r="E17" s="27" t="s">
        <v>111</v>
      </c>
      <c r="F17" s="27" t="s">
        <v>112</v>
      </c>
    </row>
    <row r="18" spans="1:6" x14ac:dyDescent="0.3">
      <c r="A18" s="25" t="s">
        <v>38</v>
      </c>
      <c r="B18" s="26"/>
      <c r="C18" s="26"/>
      <c r="D18" s="26"/>
      <c r="E18" s="26"/>
      <c r="F18" s="26"/>
    </row>
    <row r="19" spans="1:6" x14ac:dyDescent="0.3">
      <c r="A19" s="25" t="s">
        <v>124</v>
      </c>
      <c r="B19" s="26"/>
      <c r="C19" s="26"/>
      <c r="D19" s="26"/>
      <c r="E19" s="26"/>
      <c r="F19" s="26"/>
    </row>
    <row r="20" spans="1:6" x14ac:dyDescent="0.3">
      <c r="A20" s="25" t="s">
        <v>125</v>
      </c>
      <c r="B20" s="26"/>
      <c r="C20" s="26"/>
      <c r="D20" s="26"/>
      <c r="E20" s="26"/>
      <c r="F20" s="26"/>
    </row>
    <row r="21" spans="1:6" x14ac:dyDescent="0.3">
      <c r="A21" s="25" t="s">
        <v>126</v>
      </c>
      <c r="B21" s="26"/>
      <c r="C21" s="26"/>
      <c r="D21" s="26"/>
      <c r="E21" s="26"/>
      <c r="F21" s="26"/>
    </row>
    <row r="22" spans="1:6" x14ac:dyDescent="0.3">
      <c r="A22" s="25" t="s">
        <v>127</v>
      </c>
      <c r="B22" s="26"/>
      <c r="C22" s="26"/>
      <c r="D22" s="26"/>
      <c r="E22" s="26"/>
      <c r="F22" s="26"/>
    </row>
    <row r="23" spans="1:6" x14ac:dyDescent="0.3">
      <c r="A23" s="25" t="s">
        <v>128</v>
      </c>
      <c r="B23" s="26"/>
      <c r="C23" s="26"/>
      <c r="D23" s="26"/>
      <c r="E23" s="26"/>
      <c r="F23" s="26"/>
    </row>
    <row r="24" spans="1:6" x14ac:dyDescent="0.3">
      <c r="A24" s="25" t="s">
        <v>129</v>
      </c>
      <c r="B24" s="26"/>
      <c r="C24" s="26"/>
      <c r="D24" s="26"/>
      <c r="E24" s="26"/>
      <c r="F24" s="26"/>
    </row>
    <row r="25" spans="1:6" x14ac:dyDescent="0.3">
      <c r="A25" s="25" t="s">
        <v>130</v>
      </c>
      <c r="B25" s="26"/>
      <c r="C25" s="26"/>
      <c r="D25" s="26"/>
      <c r="E25" s="26"/>
      <c r="F25" s="26"/>
    </row>
    <row r="26" spans="1:6" x14ac:dyDescent="0.3">
      <c r="A26" s="25" t="s">
        <v>131</v>
      </c>
      <c r="B26" s="26"/>
      <c r="C26" s="26"/>
      <c r="D26" s="26"/>
      <c r="E26" s="26"/>
      <c r="F26" s="26"/>
    </row>
    <row r="27" spans="1:6" x14ac:dyDescent="0.3">
      <c r="A27" s="25" t="s">
        <v>132</v>
      </c>
      <c r="B27" s="26"/>
      <c r="C27" s="26"/>
      <c r="D27" s="26"/>
      <c r="E27" s="26"/>
      <c r="F27" s="26"/>
    </row>
    <row r="28" spans="1:6" x14ac:dyDescent="0.3">
      <c r="A28" s="25" t="s">
        <v>133</v>
      </c>
      <c r="B28" s="26"/>
      <c r="C28" s="26"/>
      <c r="D28" s="26"/>
      <c r="E28" s="26"/>
      <c r="F28" s="26"/>
    </row>
    <row r="29" spans="1:6" x14ac:dyDescent="0.3">
      <c r="A29" s="25" t="s">
        <v>134</v>
      </c>
      <c r="B29" s="26"/>
      <c r="C29" s="26"/>
      <c r="D29" s="26"/>
      <c r="E29" s="26"/>
      <c r="F29" s="26"/>
    </row>
    <row r="30" spans="1:6" x14ac:dyDescent="0.3">
      <c r="A30" s="25"/>
      <c r="B30" s="25"/>
      <c r="C30" s="25"/>
      <c r="D30" s="25"/>
      <c r="E30" s="25"/>
      <c r="F30" s="25"/>
    </row>
    <row r="31" spans="1:6" x14ac:dyDescent="0.3">
      <c r="A31" s="101" t="s">
        <v>135</v>
      </c>
      <c r="B31" s="101"/>
      <c r="C31" s="101"/>
      <c r="D31" s="101"/>
      <c r="E31" s="101"/>
      <c r="F31" s="101"/>
    </row>
    <row r="32" spans="1:6" x14ac:dyDescent="0.3">
      <c r="A32" s="27" t="s">
        <v>107</v>
      </c>
      <c r="B32" s="27" t="s">
        <v>108</v>
      </c>
      <c r="C32" s="27" t="s">
        <v>109</v>
      </c>
      <c r="D32" s="27" t="s">
        <v>110</v>
      </c>
      <c r="E32" s="27" t="s">
        <v>111</v>
      </c>
      <c r="F32" s="27" t="s">
        <v>112</v>
      </c>
    </row>
    <row r="33" spans="1:6" x14ac:dyDescent="0.3">
      <c r="A33" s="25" t="s">
        <v>122</v>
      </c>
      <c r="B33" s="26"/>
      <c r="C33" s="26"/>
      <c r="D33" s="26"/>
      <c r="E33" s="26"/>
      <c r="F33" s="26"/>
    </row>
    <row r="34" spans="1:6" x14ac:dyDescent="0.3">
      <c r="A34" s="25" t="s">
        <v>118</v>
      </c>
      <c r="B34" s="26"/>
      <c r="C34" s="26"/>
      <c r="D34" s="26"/>
      <c r="E34" s="26"/>
      <c r="F34" s="26"/>
    </row>
    <row r="35" spans="1:6" x14ac:dyDescent="0.3">
      <c r="A35" s="25" t="s">
        <v>136</v>
      </c>
      <c r="B35" s="26"/>
      <c r="C35" s="26"/>
      <c r="D35" s="26"/>
      <c r="E35" s="26"/>
      <c r="F35" s="26"/>
    </row>
    <row r="36" spans="1:6" x14ac:dyDescent="0.3">
      <c r="A36" s="25" t="s">
        <v>137</v>
      </c>
      <c r="B36" s="26"/>
      <c r="C36" s="26"/>
      <c r="D36" s="26"/>
      <c r="E36" s="26"/>
      <c r="F36" s="26"/>
    </row>
    <row r="37" spans="1:6" x14ac:dyDescent="0.3">
      <c r="A37" s="25" t="s">
        <v>138</v>
      </c>
      <c r="B37" s="26"/>
      <c r="C37" s="26"/>
      <c r="D37" s="26"/>
      <c r="E37" s="26"/>
      <c r="F37" s="26"/>
    </row>
  </sheetData>
  <mergeCells count="4">
    <mergeCell ref="A1:F1"/>
    <mergeCell ref="A3:F3"/>
    <mergeCell ref="A16:F16"/>
    <mergeCell ref="A31:F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8575-7437-499F-A9D7-C350AC0118BF}">
  <dimension ref="A1:F37"/>
  <sheetViews>
    <sheetView workbookViewId="0">
      <selection sqref="A1:F1"/>
    </sheetView>
  </sheetViews>
  <sheetFormatPr defaultRowHeight="14.4" x14ac:dyDescent="0.3"/>
  <cols>
    <col min="1" max="1" width="21.44140625" bestFit="1" customWidth="1"/>
    <col min="2" max="6" width="6.109375" bestFit="1" customWidth="1"/>
  </cols>
  <sheetData>
    <row r="1" spans="1:6" x14ac:dyDescent="0.3">
      <c r="A1" s="100" t="s">
        <v>139</v>
      </c>
      <c r="B1" s="100"/>
      <c r="C1" s="100"/>
      <c r="D1" s="100"/>
      <c r="E1" s="100"/>
      <c r="F1" s="100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101" t="s">
        <v>106</v>
      </c>
      <c r="B3" s="101"/>
      <c r="C3" s="101"/>
      <c r="D3" s="101"/>
      <c r="E3" s="101"/>
      <c r="F3" s="101"/>
    </row>
    <row r="4" spans="1:6" x14ac:dyDescent="0.3">
      <c r="A4" s="27" t="s">
        <v>107</v>
      </c>
      <c r="B4" s="27" t="s">
        <v>108</v>
      </c>
      <c r="C4" s="27" t="s">
        <v>109</v>
      </c>
      <c r="D4" s="27" t="s">
        <v>110</v>
      </c>
      <c r="E4" s="27" t="s">
        <v>111</v>
      </c>
      <c r="F4" s="27" t="s">
        <v>112</v>
      </c>
    </row>
    <row r="5" spans="1:6" x14ac:dyDescent="0.3">
      <c r="A5" s="25" t="s">
        <v>113</v>
      </c>
      <c r="B5" s="26"/>
      <c r="C5" s="26"/>
      <c r="D5" s="26"/>
      <c r="E5" s="26"/>
      <c r="F5" s="26"/>
    </row>
    <row r="6" spans="1:6" x14ac:dyDescent="0.3">
      <c r="A6" s="25" t="s">
        <v>114</v>
      </c>
      <c r="B6" s="26"/>
      <c r="C6" s="26"/>
      <c r="D6" s="26"/>
      <c r="E6" s="26"/>
      <c r="F6" s="26"/>
    </row>
    <row r="7" spans="1:6" x14ac:dyDescent="0.3">
      <c r="A7" s="25" t="s">
        <v>115</v>
      </c>
      <c r="B7" s="26"/>
      <c r="C7" s="26"/>
      <c r="D7" s="26"/>
      <c r="E7" s="26"/>
      <c r="F7" s="26"/>
    </row>
    <row r="8" spans="1:6" x14ac:dyDescent="0.3">
      <c r="A8" s="25" t="s">
        <v>116</v>
      </c>
      <c r="B8" s="26"/>
      <c r="C8" s="26"/>
      <c r="D8" s="26"/>
      <c r="E8" s="26"/>
      <c r="F8" s="26"/>
    </row>
    <row r="9" spans="1:6" x14ac:dyDescent="0.3">
      <c r="A9" s="25" t="s">
        <v>117</v>
      </c>
      <c r="B9" s="26"/>
      <c r="C9" s="26"/>
      <c r="D9" s="26"/>
      <c r="E9" s="26"/>
      <c r="F9" s="26"/>
    </row>
    <row r="10" spans="1:6" x14ac:dyDescent="0.3">
      <c r="A10" s="25" t="s">
        <v>118</v>
      </c>
      <c r="B10" s="26"/>
      <c r="C10" s="26"/>
      <c r="D10" s="26"/>
      <c r="E10" s="26"/>
      <c r="F10" s="26"/>
    </row>
    <row r="11" spans="1:6" x14ac:dyDescent="0.3">
      <c r="A11" s="25" t="s">
        <v>119</v>
      </c>
      <c r="B11" s="26"/>
      <c r="C11" s="26"/>
      <c r="D11" s="26"/>
      <c r="E11" s="26"/>
      <c r="F11" s="26"/>
    </row>
    <row r="12" spans="1:6" x14ac:dyDescent="0.3">
      <c r="A12" s="25" t="s">
        <v>120</v>
      </c>
      <c r="B12" s="26"/>
      <c r="C12" s="26"/>
      <c r="D12" s="26"/>
      <c r="E12" s="26"/>
      <c r="F12" s="26"/>
    </row>
    <row r="13" spans="1:6" x14ac:dyDescent="0.3">
      <c r="A13" s="25" t="s">
        <v>121</v>
      </c>
      <c r="B13" s="26"/>
      <c r="C13" s="26"/>
      <c r="D13" s="26"/>
      <c r="E13" s="26"/>
      <c r="F13" s="26"/>
    </row>
    <row r="14" spans="1:6" x14ac:dyDescent="0.3">
      <c r="A14" s="25" t="s">
        <v>122</v>
      </c>
      <c r="B14" s="26"/>
      <c r="C14" s="26"/>
      <c r="D14" s="26"/>
      <c r="E14" s="26"/>
      <c r="F14" s="26"/>
    </row>
    <row r="15" spans="1:6" x14ac:dyDescent="0.3">
      <c r="A15" s="25"/>
      <c r="B15" s="25"/>
      <c r="C15" s="25"/>
      <c r="D15" s="25"/>
      <c r="E15" s="25"/>
      <c r="F15" s="25"/>
    </row>
    <row r="16" spans="1:6" x14ac:dyDescent="0.3">
      <c r="A16" s="101" t="s">
        <v>123</v>
      </c>
      <c r="B16" s="101"/>
      <c r="C16" s="101"/>
      <c r="D16" s="101"/>
      <c r="E16" s="101"/>
      <c r="F16" s="101"/>
    </row>
    <row r="17" spans="1:6" x14ac:dyDescent="0.3">
      <c r="A17" s="27" t="s">
        <v>107</v>
      </c>
      <c r="B17" s="27" t="s">
        <v>108</v>
      </c>
      <c r="C17" s="27" t="s">
        <v>109</v>
      </c>
      <c r="D17" s="27" t="s">
        <v>110</v>
      </c>
      <c r="E17" s="27" t="s">
        <v>111</v>
      </c>
      <c r="F17" s="27" t="s">
        <v>112</v>
      </c>
    </row>
    <row r="18" spans="1:6" x14ac:dyDescent="0.3">
      <c r="A18" s="25" t="s">
        <v>38</v>
      </c>
      <c r="B18" s="26"/>
      <c r="C18" s="26"/>
      <c r="D18" s="26"/>
      <c r="E18" s="26"/>
      <c r="F18" s="26"/>
    </row>
    <row r="19" spans="1:6" x14ac:dyDescent="0.3">
      <c r="A19" s="25" t="s">
        <v>124</v>
      </c>
      <c r="B19" s="26"/>
      <c r="C19" s="26"/>
      <c r="D19" s="26"/>
      <c r="E19" s="26"/>
      <c r="F19" s="26"/>
    </row>
    <row r="20" spans="1:6" x14ac:dyDescent="0.3">
      <c r="A20" s="25" t="s">
        <v>125</v>
      </c>
      <c r="B20" s="26"/>
      <c r="C20" s="26"/>
      <c r="D20" s="26"/>
      <c r="E20" s="26"/>
      <c r="F20" s="26"/>
    </row>
    <row r="21" spans="1:6" x14ac:dyDescent="0.3">
      <c r="A21" s="25" t="s">
        <v>126</v>
      </c>
      <c r="B21" s="26"/>
      <c r="C21" s="26"/>
      <c r="D21" s="26"/>
      <c r="E21" s="26"/>
      <c r="F21" s="26"/>
    </row>
    <row r="22" spans="1:6" x14ac:dyDescent="0.3">
      <c r="A22" s="25" t="s">
        <v>127</v>
      </c>
      <c r="B22" s="26"/>
      <c r="C22" s="26"/>
      <c r="D22" s="26"/>
      <c r="E22" s="26"/>
      <c r="F22" s="26"/>
    </row>
    <row r="23" spans="1:6" x14ac:dyDescent="0.3">
      <c r="A23" s="25" t="s">
        <v>128</v>
      </c>
      <c r="B23" s="26"/>
      <c r="C23" s="26"/>
      <c r="D23" s="26"/>
      <c r="E23" s="26"/>
      <c r="F23" s="26"/>
    </row>
    <row r="24" spans="1:6" x14ac:dyDescent="0.3">
      <c r="A24" s="25" t="s">
        <v>129</v>
      </c>
      <c r="B24" s="26"/>
      <c r="C24" s="26"/>
      <c r="D24" s="26"/>
      <c r="E24" s="26"/>
      <c r="F24" s="26"/>
    </row>
    <row r="25" spans="1:6" x14ac:dyDescent="0.3">
      <c r="A25" s="25" t="s">
        <v>130</v>
      </c>
      <c r="B25" s="26"/>
      <c r="C25" s="26"/>
      <c r="D25" s="26"/>
      <c r="E25" s="26"/>
      <c r="F25" s="26"/>
    </row>
    <row r="26" spans="1:6" x14ac:dyDescent="0.3">
      <c r="A26" s="25" t="s">
        <v>131</v>
      </c>
      <c r="B26" s="26"/>
      <c r="C26" s="26"/>
      <c r="D26" s="26"/>
      <c r="E26" s="26"/>
      <c r="F26" s="26"/>
    </row>
    <row r="27" spans="1:6" x14ac:dyDescent="0.3">
      <c r="A27" s="25" t="s">
        <v>132</v>
      </c>
      <c r="B27" s="26"/>
      <c r="C27" s="26"/>
      <c r="D27" s="26"/>
      <c r="E27" s="26"/>
      <c r="F27" s="26"/>
    </row>
    <row r="28" spans="1:6" x14ac:dyDescent="0.3">
      <c r="A28" s="25" t="s">
        <v>133</v>
      </c>
      <c r="B28" s="26"/>
      <c r="C28" s="26"/>
      <c r="D28" s="26"/>
      <c r="E28" s="26"/>
      <c r="F28" s="26"/>
    </row>
    <row r="29" spans="1:6" x14ac:dyDescent="0.3">
      <c r="A29" s="25" t="s">
        <v>134</v>
      </c>
      <c r="B29" s="26"/>
      <c r="C29" s="26"/>
      <c r="D29" s="26"/>
      <c r="E29" s="26"/>
      <c r="F29" s="26"/>
    </row>
    <row r="30" spans="1:6" x14ac:dyDescent="0.3">
      <c r="A30" s="25"/>
      <c r="B30" s="25"/>
      <c r="C30" s="25"/>
      <c r="D30" s="25"/>
      <c r="E30" s="25"/>
      <c r="F30" s="25"/>
    </row>
    <row r="31" spans="1:6" x14ac:dyDescent="0.3">
      <c r="A31" s="101" t="s">
        <v>135</v>
      </c>
      <c r="B31" s="101"/>
      <c r="C31" s="101"/>
      <c r="D31" s="101"/>
      <c r="E31" s="101"/>
      <c r="F31" s="101"/>
    </row>
    <row r="32" spans="1:6" x14ac:dyDescent="0.3">
      <c r="A32" s="27" t="s">
        <v>107</v>
      </c>
      <c r="B32" s="27" t="s">
        <v>108</v>
      </c>
      <c r="C32" s="27" t="s">
        <v>109</v>
      </c>
      <c r="D32" s="27" t="s">
        <v>110</v>
      </c>
      <c r="E32" s="27" t="s">
        <v>111</v>
      </c>
      <c r="F32" s="27" t="s">
        <v>112</v>
      </c>
    </row>
    <row r="33" spans="1:6" x14ac:dyDescent="0.3">
      <c r="A33" s="25" t="s">
        <v>122</v>
      </c>
      <c r="B33" s="26"/>
      <c r="C33" s="26"/>
      <c r="D33" s="26"/>
      <c r="E33" s="26"/>
      <c r="F33" s="26"/>
    </row>
    <row r="34" spans="1:6" x14ac:dyDescent="0.3">
      <c r="A34" s="25" t="s">
        <v>118</v>
      </c>
      <c r="B34" s="26"/>
      <c r="C34" s="26"/>
      <c r="D34" s="26"/>
      <c r="E34" s="26"/>
      <c r="F34" s="26"/>
    </row>
    <row r="35" spans="1:6" x14ac:dyDescent="0.3">
      <c r="A35" s="25" t="s">
        <v>136</v>
      </c>
      <c r="B35" s="26"/>
      <c r="C35" s="26"/>
      <c r="D35" s="26"/>
      <c r="E35" s="26"/>
      <c r="F35" s="26"/>
    </row>
    <row r="36" spans="1:6" x14ac:dyDescent="0.3">
      <c r="A36" s="25" t="s">
        <v>137</v>
      </c>
      <c r="B36" s="26"/>
      <c r="C36" s="26"/>
      <c r="D36" s="26"/>
      <c r="E36" s="26"/>
      <c r="F36" s="26"/>
    </row>
    <row r="37" spans="1:6" x14ac:dyDescent="0.3">
      <c r="A37" s="25" t="s">
        <v>138</v>
      </c>
      <c r="B37" s="26"/>
      <c r="C37" s="26"/>
      <c r="D37" s="26"/>
      <c r="E37" s="26"/>
      <c r="F37" s="26"/>
    </row>
  </sheetData>
  <mergeCells count="4">
    <mergeCell ref="A1:F1"/>
    <mergeCell ref="A3:F3"/>
    <mergeCell ref="A16:F16"/>
    <mergeCell ref="A31:F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DB34-CC58-4C36-B143-C3BA1576E81B}">
  <dimension ref="A1:F37"/>
  <sheetViews>
    <sheetView workbookViewId="0">
      <selection sqref="A1:F1"/>
    </sheetView>
  </sheetViews>
  <sheetFormatPr defaultRowHeight="14.4" x14ac:dyDescent="0.3"/>
  <cols>
    <col min="1" max="1" width="21.44140625" bestFit="1" customWidth="1"/>
    <col min="2" max="6" width="6.109375" bestFit="1" customWidth="1"/>
  </cols>
  <sheetData>
    <row r="1" spans="1:6" x14ac:dyDescent="0.3">
      <c r="A1" s="100" t="s">
        <v>140</v>
      </c>
      <c r="B1" s="100"/>
      <c r="C1" s="100"/>
      <c r="D1" s="100"/>
      <c r="E1" s="100"/>
      <c r="F1" s="100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101" t="s">
        <v>106</v>
      </c>
      <c r="B3" s="101"/>
      <c r="C3" s="101"/>
      <c r="D3" s="101"/>
      <c r="E3" s="101"/>
      <c r="F3" s="101"/>
    </row>
    <row r="4" spans="1:6" x14ac:dyDescent="0.3">
      <c r="A4" s="27" t="s">
        <v>107</v>
      </c>
      <c r="B4" s="27" t="s">
        <v>108</v>
      </c>
      <c r="C4" s="27" t="s">
        <v>109</v>
      </c>
      <c r="D4" s="27" t="s">
        <v>110</v>
      </c>
      <c r="E4" s="27" t="s">
        <v>111</v>
      </c>
      <c r="F4" s="27" t="s">
        <v>112</v>
      </c>
    </row>
    <row r="5" spans="1:6" x14ac:dyDescent="0.3">
      <c r="A5" s="25" t="s">
        <v>113</v>
      </c>
      <c r="B5" s="26"/>
      <c r="C5" s="26"/>
      <c r="D5" s="26"/>
      <c r="E5" s="26"/>
      <c r="F5" s="26"/>
    </row>
    <row r="6" spans="1:6" x14ac:dyDescent="0.3">
      <c r="A6" s="25" t="s">
        <v>114</v>
      </c>
      <c r="B6" s="26"/>
      <c r="C6" s="26"/>
      <c r="D6" s="26"/>
      <c r="E6" s="26"/>
      <c r="F6" s="26"/>
    </row>
    <row r="7" spans="1:6" x14ac:dyDescent="0.3">
      <c r="A7" s="25" t="s">
        <v>115</v>
      </c>
      <c r="B7" s="26"/>
      <c r="C7" s="26"/>
      <c r="D7" s="26"/>
      <c r="E7" s="26"/>
      <c r="F7" s="26"/>
    </row>
    <row r="8" spans="1:6" x14ac:dyDescent="0.3">
      <c r="A8" s="25" t="s">
        <v>116</v>
      </c>
      <c r="B8" s="26"/>
      <c r="C8" s="26"/>
      <c r="D8" s="26"/>
      <c r="E8" s="26"/>
      <c r="F8" s="26"/>
    </row>
    <row r="9" spans="1:6" x14ac:dyDescent="0.3">
      <c r="A9" s="25" t="s">
        <v>117</v>
      </c>
      <c r="B9" s="26"/>
      <c r="C9" s="26"/>
      <c r="D9" s="26"/>
      <c r="E9" s="26"/>
      <c r="F9" s="26"/>
    </row>
    <row r="10" spans="1:6" x14ac:dyDescent="0.3">
      <c r="A10" s="25" t="s">
        <v>118</v>
      </c>
      <c r="B10" s="26"/>
      <c r="C10" s="26"/>
      <c r="D10" s="26"/>
      <c r="E10" s="26"/>
      <c r="F10" s="26"/>
    </row>
    <row r="11" spans="1:6" x14ac:dyDescent="0.3">
      <c r="A11" s="25" t="s">
        <v>119</v>
      </c>
      <c r="B11" s="26"/>
      <c r="C11" s="26"/>
      <c r="D11" s="26"/>
      <c r="E11" s="26"/>
      <c r="F11" s="26"/>
    </row>
    <row r="12" spans="1:6" x14ac:dyDescent="0.3">
      <c r="A12" s="25" t="s">
        <v>120</v>
      </c>
      <c r="B12" s="26"/>
      <c r="C12" s="26"/>
      <c r="D12" s="26"/>
      <c r="E12" s="26"/>
      <c r="F12" s="26"/>
    </row>
    <row r="13" spans="1:6" x14ac:dyDescent="0.3">
      <c r="A13" s="25" t="s">
        <v>121</v>
      </c>
      <c r="B13" s="26"/>
      <c r="C13" s="26"/>
      <c r="D13" s="26"/>
      <c r="E13" s="26"/>
      <c r="F13" s="26"/>
    </row>
    <row r="14" spans="1:6" x14ac:dyDescent="0.3">
      <c r="A14" s="25" t="s">
        <v>122</v>
      </c>
      <c r="B14" s="26"/>
      <c r="C14" s="26"/>
      <c r="D14" s="26"/>
      <c r="E14" s="26"/>
      <c r="F14" s="26"/>
    </row>
    <row r="15" spans="1:6" x14ac:dyDescent="0.3">
      <c r="A15" s="25"/>
      <c r="B15" s="25"/>
      <c r="C15" s="25"/>
      <c r="D15" s="25"/>
      <c r="E15" s="25"/>
      <c r="F15" s="25"/>
    </row>
    <row r="16" spans="1:6" x14ac:dyDescent="0.3">
      <c r="A16" s="101" t="s">
        <v>123</v>
      </c>
      <c r="B16" s="101"/>
      <c r="C16" s="101"/>
      <c r="D16" s="101"/>
      <c r="E16" s="101"/>
      <c r="F16" s="101"/>
    </row>
    <row r="17" spans="1:6" x14ac:dyDescent="0.3">
      <c r="A17" s="27" t="s">
        <v>107</v>
      </c>
      <c r="B17" s="27" t="s">
        <v>108</v>
      </c>
      <c r="C17" s="27" t="s">
        <v>109</v>
      </c>
      <c r="D17" s="27" t="s">
        <v>110</v>
      </c>
      <c r="E17" s="27" t="s">
        <v>111</v>
      </c>
      <c r="F17" s="27" t="s">
        <v>112</v>
      </c>
    </row>
    <row r="18" spans="1:6" x14ac:dyDescent="0.3">
      <c r="A18" s="25" t="s">
        <v>38</v>
      </c>
      <c r="B18" s="26"/>
      <c r="C18" s="26"/>
      <c r="D18" s="26"/>
      <c r="E18" s="26"/>
      <c r="F18" s="26"/>
    </row>
    <row r="19" spans="1:6" x14ac:dyDescent="0.3">
      <c r="A19" s="25" t="s">
        <v>124</v>
      </c>
      <c r="B19" s="26"/>
      <c r="C19" s="26"/>
      <c r="D19" s="26"/>
      <c r="E19" s="26"/>
      <c r="F19" s="26"/>
    </row>
    <row r="20" spans="1:6" x14ac:dyDescent="0.3">
      <c r="A20" s="25" t="s">
        <v>125</v>
      </c>
      <c r="B20" s="26"/>
      <c r="C20" s="26"/>
      <c r="D20" s="26"/>
      <c r="E20" s="26"/>
      <c r="F20" s="26"/>
    </row>
    <row r="21" spans="1:6" x14ac:dyDescent="0.3">
      <c r="A21" s="25" t="s">
        <v>126</v>
      </c>
      <c r="B21" s="26"/>
      <c r="C21" s="26"/>
      <c r="D21" s="26"/>
      <c r="E21" s="26"/>
      <c r="F21" s="26"/>
    </row>
    <row r="22" spans="1:6" x14ac:dyDescent="0.3">
      <c r="A22" s="25" t="s">
        <v>127</v>
      </c>
      <c r="B22" s="26"/>
      <c r="C22" s="26"/>
      <c r="D22" s="26"/>
      <c r="E22" s="26"/>
      <c r="F22" s="26"/>
    </row>
    <row r="23" spans="1:6" x14ac:dyDescent="0.3">
      <c r="A23" s="25" t="s">
        <v>128</v>
      </c>
      <c r="B23" s="26"/>
      <c r="C23" s="26"/>
      <c r="D23" s="26"/>
      <c r="E23" s="26"/>
      <c r="F23" s="26"/>
    </row>
    <row r="24" spans="1:6" x14ac:dyDescent="0.3">
      <c r="A24" s="25" t="s">
        <v>129</v>
      </c>
      <c r="B24" s="26"/>
      <c r="C24" s="26"/>
      <c r="D24" s="26"/>
      <c r="E24" s="26"/>
      <c r="F24" s="26"/>
    </row>
    <row r="25" spans="1:6" x14ac:dyDescent="0.3">
      <c r="A25" s="25" t="s">
        <v>130</v>
      </c>
      <c r="B25" s="26"/>
      <c r="C25" s="26"/>
      <c r="D25" s="26"/>
      <c r="E25" s="26"/>
      <c r="F25" s="26"/>
    </row>
    <row r="26" spans="1:6" x14ac:dyDescent="0.3">
      <c r="A26" s="25" t="s">
        <v>131</v>
      </c>
      <c r="B26" s="26"/>
      <c r="C26" s="26"/>
      <c r="D26" s="26"/>
      <c r="E26" s="26"/>
      <c r="F26" s="26"/>
    </row>
    <row r="27" spans="1:6" x14ac:dyDescent="0.3">
      <c r="A27" s="25" t="s">
        <v>132</v>
      </c>
      <c r="B27" s="26"/>
      <c r="C27" s="26"/>
      <c r="D27" s="26"/>
      <c r="E27" s="26"/>
      <c r="F27" s="26"/>
    </row>
    <row r="28" spans="1:6" x14ac:dyDescent="0.3">
      <c r="A28" s="25" t="s">
        <v>133</v>
      </c>
      <c r="B28" s="26"/>
      <c r="C28" s="26"/>
      <c r="D28" s="26"/>
      <c r="E28" s="26"/>
      <c r="F28" s="26"/>
    </row>
    <row r="29" spans="1:6" x14ac:dyDescent="0.3">
      <c r="A29" s="25" t="s">
        <v>134</v>
      </c>
      <c r="B29" s="26"/>
      <c r="C29" s="26"/>
      <c r="D29" s="26"/>
      <c r="E29" s="26"/>
      <c r="F29" s="26"/>
    </row>
    <row r="30" spans="1:6" x14ac:dyDescent="0.3">
      <c r="A30" s="25"/>
      <c r="B30" s="25"/>
      <c r="C30" s="25"/>
      <c r="D30" s="25"/>
      <c r="E30" s="25"/>
      <c r="F30" s="25"/>
    </row>
    <row r="31" spans="1:6" x14ac:dyDescent="0.3">
      <c r="A31" s="101" t="s">
        <v>135</v>
      </c>
      <c r="B31" s="101"/>
      <c r="C31" s="101"/>
      <c r="D31" s="101"/>
      <c r="E31" s="101"/>
      <c r="F31" s="101"/>
    </row>
    <row r="32" spans="1:6" x14ac:dyDescent="0.3">
      <c r="A32" s="27" t="s">
        <v>107</v>
      </c>
      <c r="B32" s="27" t="s">
        <v>108</v>
      </c>
      <c r="C32" s="27" t="s">
        <v>109</v>
      </c>
      <c r="D32" s="27" t="s">
        <v>110</v>
      </c>
      <c r="E32" s="27" t="s">
        <v>111</v>
      </c>
      <c r="F32" s="27" t="s">
        <v>112</v>
      </c>
    </row>
    <row r="33" spans="1:6" x14ac:dyDescent="0.3">
      <c r="A33" s="25" t="s">
        <v>122</v>
      </c>
      <c r="B33" s="26"/>
      <c r="C33" s="26"/>
      <c r="D33" s="26"/>
      <c r="E33" s="26"/>
      <c r="F33" s="26"/>
    </row>
    <row r="34" spans="1:6" x14ac:dyDescent="0.3">
      <c r="A34" s="25" t="s">
        <v>118</v>
      </c>
      <c r="B34" s="26"/>
      <c r="C34" s="26"/>
      <c r="D34" s="26"/>
      <c r="E34" s="26"/>
      <c r="F34" s="26"/>
    </row>
    <row r="35" spans="1:6" x14ac:dyDescent="0.3">
      <c r="A35" s="25" t="s">
        <v>136</v>
      </c>
      <c r="B35" s="26"/>
      <c r="C35" s="26"/>
      <c r="D35" s="26"/>
      <c r="E35" s="26"/>
      <c r="F35" s="26"/>
    </row>
    <row r="36" spans="1:6" x14ac:dyDescent="0.3">
      <c r="A36" s="25" t="s">
        <v>137</v>
      </c>
      <c r="B36" s="26"/>
      <c r="C36" s="26"/>
      <c r="D36" s="26"/>
      <c r="E36" s="26"/>
      <c r="F36" s="26"/>
    </row>
    <row r="37" spans="1:6" x14ac:dyDescent="0.3">
      <c r="A37" s="25" t="s">
        <v>138</v>
      </c>
      <c r="B37" s="26"/>
      <c r="C37" s="26"/>
      <c r="D37" s="26"/>
      <c r="E37" s="26"/>
      <c r="F37" s="26"/>
    </row>
  </sheetData>
  <mergeCells count="4">
    <mergeCell ref="A1:F1"/>
    <mergeCell ref="A3:F3"/>
    <mergeCell ref="A16:F16"/>
    <mergeCell ref="A31:F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ED1F-937C-48DF-B5E4-12A7195BE7E3}">
  <dimension ref="A1:C21"/>
  <sheetViews>
    <sheetView workbookViewId="0"/>
  </sheetViews>
  <sheetFormatPr defaultRowHeight="14.4" x14ac:dyDescent="0.3"/>
  <cols>
    <col min="1" max="1" width="38.109375" customWidth="1"/>
    <col min="2" max="2" width="22.88671875" customWidth="1"/>
    <col min="3" max="3" width="28.5546875" customWidth="1"/>
  </cols>
  <sheetData>
    <row r="1" spans="1:3" ht="18" x14ac:dyDescent="0.35">
      <c r="A1" s="99" t="s">
        <v>141</v>
      </c>
      <c r="B1" s="99"/>
      <c r="C1" s="99"/>
    </row>
    <row r="3" spans="1:3" x14ac:dyDescent="0.3">
      <c r="A3" s="102" t="s">
        <v>142</v>
      </c>
      <c r="B3" s="102"/>
      <c r="C3" s="102"/>
    </row>
    <row r="4" spans="1:3" x14ac:dyDescent="0.3">
      <c r="A4" s="2" t="s">
        <v>143</v>
      </c>
      <c r="B4" s="2" t="s">
        <v>144</v>
      </c>
      <c r="C4" s="2" t="s">
        <v>90</v>
      </c>
    </row>
    <row r="5" spans="1:3" x14ac:dyDescent="0.3">
      <c r="A5" s="3" t="s">
        <v>145</v>
      </c>
      <c r="B5" s="4"/>
    </row>
    <row r="6" spans="1:3" x14ac:dyDescent="0.3">
      <c r="A6" s="3" t="s">
        <v>146</v>
      </c>
      <c r="B6" s="4"/>
    </row>
    <row r="7" spans="1:3" x14ac:dyDescent="0.3">
      <c r="A7" s="3" t="s">
        <v>147</v>
      </c>
      <c r="B7" s="4"/>
    </row>
    <row r="8" spans="1:3" x14ac:dyDescent="0.3">
      <c r="A8" s="3" t="s">
        <v>148</v>
      </c>
      <c r="B8" s="7">
        <f>SUM(B5:B7)</f>
        <v>0</v>
      </c>
    </row>
    <row r="10" spans="1:3" x14ac:dyDescent="0.3">
      <c r="A10" s="102" t="s">
        <v>149</v>
      </c>
      <c r="B10" s="102"/>
      <c r="C10" s="102"/>
    </row>
    <row r="11" spans="1:3" x14ac:dyDescent="0.3">
      <c r="A11" s="2" t="s">
        <v>143</v>
      </c>
      <c r="B11" s="2" t="s">
        <v>144</v>
      </c>
      <c r="C11" s="2" t="s">
        <v>90</v>
      </c>
    </row>
    <row r="12" spans="1:3" x14ac:dyDescent="0.3">
      <c r="A12" s="3" t="s">
        <v>150</v>
      </c>
      <c r="B12" s="4"/>
    </row>
    <row r="13" spans="1:3" x14ac:dyDescent="0.3">
      <c r="A13" s="3" t="s">
        <v>151</v>
      </c>
      <c r="B13" s="4"/>
    </row>
    <row r="14" spans="1:3" x14ac:dyDescent="0.3">
      <c r="A14" s="3" t="s">
        <v>152</v>
      </c>
      <c r="B14" s="4"/>
    </row>
    <row r="15" spans="1:3" x14ac:dyDescent="0.3">
      <c r="A15" s="3" t="s">
        <v>153</v>
      </c>
      <c r="B15" s="7">
        <f>SUM(B12:B14)</f>
        <v>0</v>
      </c>
    </row>
    <row r="17" spans="1:3" x14ac:dyDescent="0.3">
      <c r="A17" s="102" t="s">
        <v>154</v>
      </c>
      <c r="B17" s="102"/>
      <c r="C17" s="102"/>
    </row>
    <row r="18" spans="1:3" x14ac:dyDescent="0.3">
      <c r="A18" s="2" t="s">
        <v>155</v>
      </c>
      <c r="B18" s="2" t="s">
        <v>144</v>
      </c>
      <c r="C18" s="2" t="s">
        <v>156</v>
      </c>
    </row>
    <row r="19" spans="1:3" x14ac:dyDescent="0.3">
      <c r="A19" s="3" t="s">
        <v>157</v>
      </c>
      <c r="B19" s="5">
        <f>Fin_Inputs_Entity1!F9</f>
        <v>0</v>
      </c>
      <c r="C19" t="s">
        <v>158</v>
      </c>
    </row>
    <row r="20" spans="1:3" x14ac:dyDescent="0.3">
      <c r="A20" s="3" t="s">
        <v>159</v>
      </c>
      <c r="B20" s="7">
        <f>B8+B15</f>
        <v>0</v>
      </c>
      <c r="C20" t="s">
        <v>160</v>
      </c>
    </row>
    <row r="21" spans="1:3" x14ac:dyDescent="0.3">
      <c r="A21" s="3" t="s">
        <v>161</v>
      </c>
      <c r="B21" s="13">
        <f>B19+B20</f>
        <v>0</v>
      </c>
      <c r="C21" t="s">
        <v>162</v>
      </c>
    </row>
  </sheetData>
  <mergeCells count="4">
    <mergeCell ref="A1:C1"/>
    <mergeCell ref="A3:C3"/>
    <mergeCell ref="A10:C10"/>
    <mergeCell ref="A17:C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5F86-FF15-4323-8F19-C5769565C9E5}">
  <dimension ref="A1:D14"/>
  <sheetViews>
    <sheetView workbookViewId="0"/>
  </sheetViews>
  <sheetFormatPr defaultRowHeight="14.4" x14ac:dyDescent="0.3"/>
  <cols>
    <col min="1" max="1" width="28.5546875" customWidth="1"/>
    <col min="2" max="2" width="34.33203125" customWidth="1"/>
    <col min="3" max="3" width="19" customWidth="1"/>
    <col min="4" max="4" width="38.109375" customWidth="1"/>
  </cols>
  <sheetData>
    <row r="1" spans="1:4" ht="18" x14ac:dyDescent="0.35">
      <c r="A1" s="99" t="s">
        <v>163</v>
      </c>
      <c r="B1" s="99"/>
      <c r="C1" s="99"/>
      <c r="D1" s="99"/>
    </row>
    <row r="3" spans="1:4" x14ac:dyDescent="0.3">
      <c r="A3" s="2" t="s">
        <v>164</v>
      </c>
      <c r="B3" s="2" t="s">
        <v>165</v>
      </c>
      <c r="C3" s="2" t="s">
        <v>91</v>
      </c>
      <c r="D3" s="2" t="s">
        <v>166</v>
      </c>
    </row>
    <row r="4" spans="1:4" x14ac:dyDescent="0.3">
      <c r="A4" s="3" t="s">
        <v>167</v>
      </c>
      <c r="B4" s="8" t="e" cm="1">
        <f t="array" ref="B4">(Year5/Year1)^(1/4)-1</f>
        <v>#NAME?</v>
      </c>
      <c r="C4" s="14" t="str">
        <f>IF(OR(Fin_Inputs_Entity1!B5=0,Fin_Inputs_Entity1!F5=0),"",(Fin_Inputs_Entity1!F5/Fin_Inputs_Entity1!B5)^(1/4)-1)</f>
        <v/>
      </c>
      <c r="D4" s="6" t="s">
        <v>168</v>
      </c>
    </row>
    <row r="5" spans="1:4" x14ac:dyDescent="0.3">
      <c r="A5" s="3" t="s">
        <v>169</v>
      </c>
      <c r="B5" s="8" t="e" cm="1">
        <f t="array" ref="B5">Gross Profit / Revenue</f>
        <v>#NAME?</v>
      </c>
      <c r="C5" s="14" t="str">
        <f>IF(Fin_Inputs_Entity1!F5=0,"",Fin_Inputs_Entity1!F7/Fin_Inputs_Entity1!F5)</f>
        <v/>
      </c>
      <c r="D5" s="6" t="s">
        <v>170</v>
      </c>
    </row>
    <row r="6" spans="1:4" x14ac:dyDescent="0.3">
      <c r="A6" s="3" t="s">
        <v>171</v>
      </c>
      <c r="B6" s="8" t="e" cm="1">
        <f t="array" ref="B6">EBITDA / Revenue</f>
        <v>#NAME?</v>
      </c>
      <c r="C6" s="14" t="str">
        <f>IF(Fin_Inputs_Entity1!F5=0,"",Fin_Inputs_Entity1!F9/Fin_Inputs_Entity1!F5)</f>
        <v/>
      </c>
      <c r="D6" s="6" t="s">
        <v>172</v>
      </c>
    </row>
    <row r="7" spans="1:4" x14ac:dyDescent="0.3">
      <c r="A7" s="3" t="s">
        <v>173</v>
      </c>
      <c r="B7" s="8" t="e" cm="1">
        <f t="array" ref="B7">Net Income / Revenue</f>
        <v>#NAME?</v>
      </c>
      <c r="C7" s="14" t="str">
        <f>IF(Fin_Inputs_Entity1!F5=0,"",Fin_Inputs_Entity1!F14/Fin_Inputs_Entity1!F5)</f>
        <v/>
      </c>
      <c r="D7" s="6" t="s">
        <v>174</v>
      </c>
    </row>
    <row r="8" spans="1:4" x14ac:dyDescent="0.3">
      <c r="A8" s="3" t="s">
        <v>175</v>
      </c>
      <c r="B8" s="8" t="e" cm="1">
        <f t="array" ref="B8">(Current Assets-AP-Accrued Liabilities) / Revenue</f>
        <v>#NAME?</v>
      </c>
      <c r="C8" s="14" t="str">
        <f>IF(Fin_Inputs_Entity1!F5=0,"",(Fin_Inputs_Entity1!F21-Fin_Inputs_Entity1!F24-Fin_Inputs_Entity1!F25)/Fin_Inputs_Entity1!F5)</f>
        <v/>
      </c>
      <c r="D8" s="6" t="s">
        <v>176</v>
      </c>
    </row>
    <row r="9" spans="1:4" x14ac:dyDescent="0.3">
      <c r="A9" s="3" t="s">
        <v>177</v>
      </c>
      <c r="B9" s="8" t="e" cm="1">
        <f t="array" ref="B9">Current Assets / (AP + Accrued Liabilities + Short-Term Debt)</f>
        <v>#NAME?</v>
      </c>
      <c r="C9" s="15" t="str">
        <f>IF((Fin_Inputs_Entity1!F24+Fin_Inputs_Entity1!F25+Fin_Inputs_Entity1!F26)=0,"",Fin_Inputs_Entity1!F21/(Fin_Inputs_Entity1!F24+Fin_Inputs_Entity1!F25+Fin_Inputs_Entity1!F26))</f>
        <v/>
      </c>
      <c r="D9" s="6" t="s">
        <v>178</v>
      </c>
    </row>
    <row r="10" spans="1:4" x14ac:dyDescent="0.3">
      <c r="A10" s="3" t="s">
        <v>179</v>
      </c>
      <c r="B10" s="8" t="e" cm="1">
        <f t="array" ref="B10">(Current Assets-Inventory) / (AP + Accrued Liabilities + Short-Term Debt)</f>
        <v>#NAME?</v>
      </c>
      <c r="C10" s="15" t="str">
        <f>IF((Fin_Inputs_Entity1!F24+Fin_Inputs_Entity1!F25+Fin_Inputs_Entity1!F26)=0,"",(Fin_Inputs_Entity1!F21-Fin_Inputs_Entity1!F20)/(Fin_Inputs_Entity1!F24+Fin_Inputs_Entity1!F25+Fin_Inputs_Entity1!F26))</f>
        <v/>
      </c>
      <c r="D10" s="6" t="s">
        <v>180</v>
      </c>
    </row>
    <row r="11" spans="1:4" x14ac:dyDescent="0.3">
      <c r="A11" s="3" t="s">
        <v>181</v>
      </c>
      <c r="B11" s="8" t="e" cm="1">
        <f t="array" ref="B11">Total Debt / EBITDA</f>
        <v>#NAME?</v>
      </c>
      <c r="C11" s="15" t="str">
        <f>IF(Fin_Inputs_Entity1!F9=0,"",(Fin_Inputs_Entity1!F26+Fin_Inputs_Entity1!F27)/Fin_Inputs_Entity1!F9)</f>
        <v/>
      </c>
      <c r="D11" s="6" t="s">
        <v>182</v>
      </c>
    </row>
    <row r="12" spans="1:4" x14ac:dyDescent="0.3">
      <c r="A12" s="3" t="s">
        <v>183</v>
      </c>
      <c r="B12" s="8" t="e" cm="1">
        <f t="array" ref="B12">EBIT / Interest</f>
        <v>#NAME?</v>
      </c>
      <c r="C12" s="15" t="str">
        <f>IF(Fin_Inputs_Entity1!F12=0,"",Fin_Inputs_Entity1!F11/Fin_Inputs_Entity1!F12)</f>
        <v/>
      </c>
      <c r="D12" s="6" t="s">
        <v>184</v>
      </c>
    </row>
    <row r="13" spans="1:4" x14ac:dyDescent="0.3">
      <c r="A13" s="3" t="s">
        <v>185</v>
      </c>
      <c r="B13" s="8" t="e" cm="1">
        <f t="array" ref="B13">Net Income / Total Assets</f>
        <v>#NAME?</v>
      </c>
      <c r="C13" s="14" t="str">
        <f>IF(Fin_Inputs_Entity1!F23=0,"",Fin_Inputs_Entity1!F14/Fin_Inputs_Entity1!F23)</f>
        <v/>
      </c>
      <c r="D13" s="6" t="s">
        <v>186</v>
      </c>
    </row>
    <row r="14" spans="1:4" x14ac:dyDescent="0.3">
      <c r="A14" s="3" t="s">
        <v>187</v>
      </c>
      <c r="B14" s="8" t="e" cm="1">
        <f t="array" ref="B14">Net Income / Equity</f>
        <v>#NAME?</v>
      </c>
      <c r="C14" s="14" t="str">
        <f>IF(Fin_Inputs_Entity1!F29=0,"",Fin_Inputs_Entity1!F14/Fin_Inputs_Entity1!F29)</f>
        <v/>
      </c>
      <c r="D14" s="6" t="s">
        <v>188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D1F4-268A-4FB1-8E6E-224088CD348E}">
  <dimension ref="A1:G36"/>
  <sheetViews>
    <sheetView workbookViewId="0"/>
  </sheetViews>
  <sheetFormatPr defaultRowHeight="14.4" x14ac:dyDescent="0.3"/>
  <cols>
    <col min="1" max="1" width="20.88671875" bestFit="1" customWidth="1"/>
    <col min="2" max="2" width="12.88671875" bestFit="1" customWidth="1"/>
    <col min="3" max="3" width="52.33203125" bestFit="1" customWidth="1"/>
    <col min="4" max="4" width="10" bestFit="1" customWidth="1"/>
    <col min="5" max="6" width="6" bestFit="1" customWidth="1"/>
    <col min="7" max="7" width="8.33203125" bestFit="1" customWidth="1"/>
  </cols>
  <sheetData>
    <row r="1" spans="1:7" ht="18" x14ac:dyDescent="0.35">
      <c r="A1" s="99" t="s">
        <v>189</v>
      </c>
      <c r="B1" s="99"/>
      <c r="C1" s="99"/>
      <c r="D1" s="99"/>
      <c r="E1" s="99"/>
      <c r="F1" s="99"/>
    </row>
    <row r="3" spans="1:7" x14ac:dyDescent="0.3">
      <c r="A3" s="102" t="s">
        <v>190</v>
      </c>
      <c r="B3" s="102"/>
      <c r="C3" s="102"/>
    </row>
    <row r="4" spans="1:7" x14ac:dyDescent="0.3">
      <c r="A4" s="2" t="s">
        <v>16</v>
      </c>
      <c r="B4" s="2" t="s">
        <v>91</v>
      </c>
      <c r="C4" s="2" t="s">
        <v>90</v>
      </c>
    </row>
    <row r="5" spans="1:7" x14ac:dyDescent="0.3">
      <c r="A5" s="3" t="s">
        <v>191</v>
      </c>
      <c r="B5" s="4" t="str">
        <f>Valuation_Entity1!B5</f>
        <v/>
      </c>
      <c r="C5" t="s">
        <v>192</v>
      </c>
    </row>
    <row r="6" spans="1:7" x14ac:dyDescent="0.3">
      <c r="A6" s="3" t="s">
        <v>193</v>
      </c>
      <c r="B6" s="4" t="str">
        <f>Valuation_Entity1!B6</f>
        <v/>
      </c>
      <c r="C6" t="s">
        <v>194</v>
      </c>
    </row>
    <row r="7" spans="1:7" x14ac:dyDescent="0.3">
      <c r="A7" s="3" t="s">
        <v>195</v>
      </c>
      <c r="B7" s="4" t="str">
        <f>Valuation_Entity1!B7</f>
        <v/>
      </c>
      <c r="C7" t="s">
        <v>196</v>
      </c>
    </row>
    <row r="8" spans="1:7" x14ac:dyDescent="0.3">
      <c r="A8" s="3" t="s">
        <v>197</v>
      </c>
      <c r="B8" s="4" t="str">
        <f>Valuation_Entity1!B8</f>
        <v/>
      </c>
      <c r="C8" t="s">
        <v>198</v>
      </c>
    </row>
    <row r="9" spans="1:7" x14ac:dyDescent="0.3">
      <c r="A9" s="3" t="s">
        <v>199</v>
      </c>
      <c r="B9" s="4" t="str">
        <f>Valuation_Entity1!B9</f>
        <v/>
      </c>
      <c r="C9" t="s">
        <v>200</v>
      </c>
    </row>
    <row r="10" spans="1:7" x14ac:dyDescent="0.3">
      <c r="A10" s="3" t="s">
        <v>201</v>
      </c>
      <c r="B10" s="4" t="str">
        <f>Valuation_Entity1!B10</f>
        <v/>
      </c>
      <c r="C10" t="s">
        <v>202</v>
      </c>
    </row>
    <row r="11" spans="1:7" x14ac:dyDescent="0.3">
      <c r="A11" s="3" t="s">
        <v>203</v>
      </c>
      <c r="B11" s="4" t="str">
        <f>Valuation_Entity1!B11</f>
        <v/>
      </c>
      <c r="C11" t="s">
        <v>204</v>
      </c>
    </row>
    <row r="12" spans="1:7" x14ac:dyDescent="0.3">
      <c r="A12" s="3" t="s">
        <v>205</v>
      </c>
      <c r="B12" s="5" t="str">
        <f>Valuation_Entity1!B12</f>
        <v/>
      </c>
      <c r="C12" t="s">
        <v>206</v>
      </c>
    </row>
    <row r="13" spans="1:7" x14ac:dyDescent="0.3">
      <c r="A13" s="3" t="s">
        <v>207</v>
      </c>
      <c r="B13" s="7" t="str">
        <f>Valuation_Entity1!B13</f>
        <v/>
      </c>
      <c r="C13" t="s">
        <v>208</v>
      </c>
    </row>
    <row r="15" spans="1:7" x14ac:dyDescent="0.3">
      <c r="A15" s="102" t="s">
        <v>209</v>
      </c>
      <c r="B15" s="102"/>
      <c r="C15" s="102"/>
      <c r="D15" s="102"/>
      <c r="E15" s="102"/>
      <c r="F15" s="102"/>
      <c r="G15" s="102"/>
    </row>
    <row r="16" spans="1:7" x14ac:dyDescent="0.3">
      <c r="A16" s="2" t="s">
        <v>155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210</v>
      </c>
    </row>
    <row r="17" spans="1:7" x14ac:dyDescent="0.3">
      <c r="A17" s="3" t="s">
        <v>211</v>
      </c>
      <c r="B17" s="5" t="str">
        <f>Valuation_Entity1!B18</f>
        <v/>
      </c>
      <c r="C17" s="5" t="str">
        <f>Valuation_Entity1!C18</f>
        <v/>
      </c>
      <c r="D17" s="5" t="str">
        <f>Valuation_Entity1!D18</f>
        <v/>
      </c>
      <c r="E17" s="5" t="str">
        <f>Valuation_Entity1!E18</f>
        <v/>
      </c>
      <c r="F17" s="5" t="str">
        <f>Valuation_Entity1!F18</f>
        <v/>
      </c>
    </row>
    <row r="18" spans="1:7" x14ac:dyDescent="0.3">
      <c r="A18" s="3" t="s">
        <v>212</v>
      </c>
      <c r="B18">
        <f>Valuation_Entity1!B19</f>
        <v>0.02</v>
      </c>
      <c r="G18" s="4"/>
    </row>
    <row r="19" spans="1:7" x14ac:dyDescent="0.3">
      <c r="A19" s="3" t="s">
        <v>213</v>
      </c>
      <c r="G19" s="5" t="str">
        <f>Valuation_Entity1!G19</f>
        <v/>
      </c>
    </row>
    <row r="20" spans="1:7" x14ac:dyDescent="0.3">
      <c r="A20" s="3" t="s">
        <v>214</v>
      </c>
      <c r="B20" s="5" t="str">
        <f>Valuation_Entity1!B20</f>
        <v/>
      </c>
      <c r="C20" s="5" t="str">
        <f>Valuation_Entity1!C20</f>
        <v/>
      </c>
      <c r="D20" s="5" t="str">
        <f>Valuation_Entity1!D20</f>
        <v/>
      </c>
      <c r="E20" s="5" t="str">
        <f>Valuation_Entity1!E20</f>
        <v/>
      </c>
      <c r="F20" s="5" t="str">
        <f>Valuation_Entity1!F20</f>
        <v/>
      </c>
      <c r="G20" s="5" t="str">
        <f>Valuation_Entity1!G20</f>
        <v/>
      </c>
    </row>
    <row r="21" spans="1:7" x14ac:dyDescent="0.3">
      <c r="A21" s="3" t="s">
        <v>215</v>
      </c>
      <c r="B21" s="5" t="str">
        <f>Valuation_Entity1!B21</f>
        <v/>
      </c>
      <c r="C21" s="5" t="str">
        <f>Valuation_Entity1!C21</f>
        <v/>
      </c>
      <c r="D21" s="5" t="str">
        <f>Valuation_Entity1!D21</f>
        <v/>
      </c>
      <c r="E21" s="5" t="str">
        <f>Valuation_Entity1!E21</f>
        <v/>
      </c>
      <c r="F21" s="5" t="str">
        <f>Valuation_Entity1!F21</f>
        <v/>
      </c>
      <c r="G21" s="5" t="str">
        <f>Valuation_Entity1!G21</f>
        <v/>
      </c>
    </row>
    <row r="23" spans="1:7" x14ac:dyDescent="0.3">
      <c r="A23" s="3" t="s">
        <v>216</v>
      </c>
      <c r="B23" s="7" t="str">
        <f>Valuation_Entity1!B22</f>
        <v/>
      </c>
    </row>
    <row r="25" spans="1:7" x14ac:dyDescent="0.3">
      <c r="A25" s="102" t="s">
        <v>217</v>
      </c>
      <c r="B25" s="102"/>
      <c r="C25" s="102"/>
      <c r="D25" s="102"/>
    </row>
    <row r="26" spans="1:7" x14ac:dyDescent="0.3">
      <c r="A26" s="2" t="s">
        <v>218</v>
      </c>
      <c r="B26" s="2" t="s">
        <v>219</v>
      </c>
      <c r="C26" s="2" t="s">
        <v>220</v>
      </c>
      <c r="D26" s="2" t="s">
        <v>221</v>
      </c>
    </row>
    <row r="27" spans="1:7" x14ac:dyDescent="0.3">
      <c r="A27" s="3" t="s">
        <v>222</v>
      </c>
      <c r="B27" s="4">
        <f>Valuation_Entity1!B27</f>
        <v>6</v>
      </c>
      <c r="C27" s="5" t="str">
        <f>Valuation_Entity1!C27</f>
        <v/>
      </c>
      <c r="D27" s="5" t="str">
        <f>Valuation_Entity1!D27</f>
        <v/>
      </c>
    </row>
    <row r="28" spans="1:7" x14ac:dyDescent="0.3">
      <c r="A28" s="3" t="s">
        <v>223</v>
      </c>
      <c r="B28" s="4">
        <f>Valuation_Entity1!B28</f>
        <v>1.5</v>
      </c>
      <c r="C28" s="5" t="str">
        <f>Valuation_Entity1!C28</f>
        <v/>
      </c>
      <c r="D28" s="5" t="str">
        <f>Valuation_Entity1!D28</f>
        <v/>
      </c>
    </row>
    <row r="29" spans="1:7" x14ac:dyDescent="0.3">
      <c r="A29" s="3" t="s">
        <v>224</v>
      </c>
      <c r="B29" s="4">
        <f>Valuation_Entity1!B29</f>
        <v>10</v>
      </c>
      <c r="C29" s="5" t="str">
        <f>Valuation_Entity1!C29</f>
        <v/>
      </c>
      <c r="D29" s="5" t="str">
        <f>Valuation_Entity1!D29</f>
        <v/>
      </c>
    </row>
    <row r="30" spans="1:7" x14ac:dyDescent="0.3">
      <c r="A30" s="3" t="s">
        <v>225</v>
      </c>
      <c r="D30" s="7" t="str">
        <f>Valuation_Entity1!B30</f>
        <v/>
      </c>
    </row>
    <row r="32" spans="1:7" x14ac:dyDescent="0.3">
      <c r="A32" s="102" t="s">
        <v>226</v>
      </c>
      <c r="B32" s="102"/>
      <c r="C32" s="102"/>
    </row>
    <row r="33" spans="1:3" x14ac:dyDescent="0.3">
      <c r="A33" s="2" t="s">
        <v>227</v>
      </c>
      <c r="B33" s="2" t="s">
        <v>91</v>
      </c>
      <c r="C33" s="2" t="s">
        <v>228</v>
      </c>
    </row>
    <row r="34" spans="1:3" x14ac:dyDescent="0.3">
      <c r="A34" s="3" t="s">
        <v>229</v>
      </c>
      <c r="B34" s="5" t="str">
        <f>Valuation_Entity1!B34</f>
        <v/>
      </c>
      <c r="C34" s="9">
        <v>0.5</v>
      </c>
    </row>
    <row r="35" spans="1:3" x14ac:dyDescent="0.3">
      <c r="A35" s="3" t="s">
        <v>230</v>
      </c>
      <c r="B35" s="5" t="str">
        <f>Valuation_Entity1!B35</f>
        <v/>
      </c>
      <c r="C35" s="9">
        <v>0.5</v>
      </c>
    </row>
    <row r="36" spans="1:3" ht="15.6" x14ac:dyDescent="0.3">
      <c r="A36" s="3" t="s">
        <v>231</v>
      </c>
      <c r="B36" s="12" t="str">
        <f>Valuation_Entity1!B37</f>
        <v/>
      </c>
    </row>
  </sheetData>
  <mergeCells count="5">
    <mergeCell ref="A1:F1"/>
    <mergeCell ref="A3:C3"/>
    <mergeCell ref="A15:G15"/>
    <mergeCell ref="A25:D25"/>
    <mergeCell ref="A32:C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FDDB-A56A-4CF3-ABF3-2FACD8145174}">
  <dimension ref="A1:G60"/>
  <sheetViews>
    <sheetView workbookViewId="0"/>
  </sheetViews>
  <sheetFormatPr defaultRowHeight="14.4" x14ac:dyDescent="0.3"/>
  <cols>
    <col min="1" max="1" width="34.33203125" customWidth="1"/>
    <col min="2" max="7" width="19" customWidth="1"/>
  </cols>
  <sheetData>
    <row r="1" spans="1:7" ht="18" x14ac:dyDescent="0.35">
      <c r="A1" s="99" t="s">
        <v>232</v>
      </c>
      <c r="B1" s="99"/>
      <c r="C1" s="99"/>
      <c r="D1" s="99"/>
      <c r="E1" s="99"/>
      <c r="F1" s="99"/>
      <c r="G1" s="99"/>
    </row>
    <row r="3" spans="1:7" x14ac:dyDescent="0.3">
      <c r="A3" s="102" t="s">
        <v>233</v>
      </c>
      <c r="B3" s="102"/>
      <c r="C3" s="102"/>
      <c r="D3" s="102"/>
      <c r="E3" s="102"/>
      <c r="F3" s="102"/>
      <c r="G3" s="102"/>
    </row>
    <row r="4" spans="1:7" x14ac:dyDescent="0.3">
      <c r="A4" s="2" t="s">
        <v>155</v>
      </c>
      <c r="B4" s="2" t="s">
        <v>234</v>
      </c>
      <c r="C4" s="2" t="s">
        <v>108</v>
      </c>
      <c r="D4" s="2" t="s">
        <v>109</v>
      </c>
      <c r="E4" s="2" t="s">
        <v>110</v>
      </c>
      <c r="F4" s="2" t="s">
        <v>111</v>
      </c>
      <c r="G4" s="2" t="s">
        <v>112</v>
      </c>
    </row>
    <row r="5" spans="1:7" x14ac:dyDescent="0.3">
      <c r="A5" s="3" t="s">
        <v>235</v>
      </c>
      <c r="B5" s="5">
        <f>Fin_Inputs_Entity1!B5</f>
        <v>0</v>
      </c>
    </row>
    <row r="6" spans="1:7" x14ac:dyDescent="0.3">
      <c r="A6" s="3" t="s">
        <v>236</v>
      </c>
      <c r="B6" s="4"/>
      <c r="C6" s="4"/>
      <c r="D6" s="4"/>
      <c r="E6" s="4"/>
      <c r="F6" s="4"/>
      <c r="G6" s="4"/>
    </row>
    <row r="7" spans="1:7" x14ac:dyDescent="0.3">
      <c r="A7" s="3" t="s">
        <v>237</v>
      </c>
      <c r="B7" s="5">
        <f>IF(B5&gt;0,B5*(1+B6),0)</f>
        <v>0</v>
      </c>
      <c r="C7" s="5">
        <f>IF(B7&gt;0,B7*(1+C6),0)</f>
        <v>0</v>
      </c>
      <c r="D7" s="5">
        <f>IF(C7&gt;0,C7*(1+D6),0)</f>
        <v>0</v>
      </c>
      <c r="E7" s="5">
        <f>IF(D7&gt;0,D7*(1+E6),0)</f>
        <v>0</v>
      </c>
      <c r="F7" s="5">
        <f>IF(E7&gt;0,E7*(1+F6),0)</f>
        <v>0</v>
      </c>
      <c r="G7" s="5">
        <f>IF(F7&gt;0,F7*(1+G6),0)</f>
        <v>0</v>
      </c>
    </row>
    <row r="9" spans="1:7" x14ac:dyDescent="0.3">
      <c r="A9" s="102" t="s">
        <v>238</v>
      </c>
      <c r="B9" s="102"/>
      <c r="C9" s="102"/>
      <c r="D9" s="102"/>
      <c r="E9" s="102"/>
      <c r="F9" s="102"/>
      <c r="G9" s="102"/>
    </row>
    <row r="10" spans="1:7" x14ac:dyDescent="0.3">
      <c r="A10" s="2" t="s">
        <v>155</v>
      </c>
      <c r="B10" s="2" t="s">
        <v>234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112</v>
      </c>
    </row>
    <row r="11" spans="1:7" x14ac:dyDescent="0.3">
      <c r="A11" s="3" t="s">
        <v>239</v>
      </c>
      <c r="B11" s="4"/>
      <c r="C11" s="4"/>
      <c r="D11" s="4"/>
      <c r="E11" s="4"/>
      <c r="F11" s="4"/>
      <c r="G11" s="4"/>
    </row>
    <row r="12" spans="1:7" x14ac:dyDescent="0.3">
      <c r="A12" s="3" t="s">
        <v>240</v>
      </c>
      <c r="B12" s="5">
        <f t="shared" ref="B12:G12" si="0">B7*B11</f>
        <v>0</v>
      </c>
      <c r="C12" s="5">
        <f t="shared" si="0"/>
        <v>0</v>
      </c>
      <c r="D12" s="5">
        <f t="shared" si="0"/>
        <v>0</v>
      </c>
      <c r="E12" s="5">
        <f t="shared" si="0"/>
        <v>0</v>
      </c>
      <c r="F12" s="5">
        <f t="shared" si="0"/>
        <v>0</v>
      </c>
      <c r="G12" s="5">
        <f t="shared" si="0"/>
        <v>0</v>
      </c>
    </row>
    <row r="13" spans="1:7" x14ac:dyDescent="0.3">
      <c r="A13" s="3" t="s">
        <v>115</v>
      </c>
      <c r="B13" s="5">
        <f t="shared" ref="B13:G13" si="1">B7-B12</f>
        <v>0</v>
      </c>
      <c r="C13" s="5">
        <f t="shared" si="1"/>
        <v>0</v>
      </c>
      <c r="D13" s="5">
        <f t="shared" si="1"/>
        <v>0</v>
      </c>
      <c r="E13" s="5">
        <f t="shared" si="1"/>
        <v>0</v>
      </c>
      <c r="F13" s="5">
        <f t="shared" si="1"/>
        <v>0</v>
      </c>
      <c r="G13" s="5">
        <f t="shared" si="1"/>
        <v>0</v>
      </c>
    </row>
    <row r="15" spans="1:7" x14ac:dyDescent="0.3">
      <c r="A15" s="102" t="s">
        <v>241</v>
      </c>
      <c r="B15" s="102"/>
      <c r="C15" s="102"/>
      <c r="D15" s="102"/>
      <c r="E15" s="102"/>
      <c r="F15" s="102"/>
      <c r="G15" s="102"/>
    </row>
    <row r="16" spans="1:7" x14ac:dyDescent="0.3">
      <c r="A16" s="2" t="s">
        <v>155</v>
      </c>
      <c r="B16" s="2" t="s">
        <v>234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</row>
    <row r="17" spans="1:7" x14ac:dyDescent="0.3">
      <c r="A17" s="3" t="s">
        <v>242</v>
      </c>
      <c r="B17" s="4"/>
      <c r="C17" s="4"/>
      <c r="D17" s="4"/>
      <c r="E17" s="4"/>
      <c r="F17" s="4"/>
      <c r="G17" s="4"/>
    </row>
    <row r="18" spans="1:7" x14ac:dyDescent="0.3">
      <c r="A18" s="3" t="s">
        <v>243</v>
      </c>
      <c r="B18" s="5">
        <f t="shared" ref="B18:G18" si="2">B7*B17</f>
        <v>0</v>
      </c>
      <c r="C18" s="5">
        <f t="shared" si="2"/>
        <v>0</v>
      </c>
      <c r="D18" s="5">
        <f t="shared" si="2"/>
        <v>0</v>
      </c>
      <c r="E18" s="5">
        <f t="shared" si="2"/>
        <v>0</v>
      </c>
      <c r="F18" s="5">
        <f t="shared" si="2"/>
        <v>0</v>
      </c>
      <c r="G18" s="5">
        <f t="shared" si="2"/>
        <v>0</v>
      </c>
    </row>
    <row r="19" spans="1:7" x14ac:dyDescent="0.3">
      <c r="A19" s="3" t="s">
        <v>117</v>
      </c>
      <c r="B19" s="7">
        <f t="shared" ref="B19:G19" si="3">B13-B18</f>
        <v>0</v>
      </c>
      <c r="C19" s="7">
        <f t="shared" si="3"/>
        <v>0</v>
      </c>
      <c r="D19" s="7">
        <f t="shared" si="3"/>
        <v>0</v>
      </c>
      <c r="E19" s="7">
        <f t="shared" si="3"/>
        <v>0</v>
      </c>
      <c r="F19" s="7">
        <f t="shared" si="3"/>
        <v>0</v>
      </c>
      <c r="G19" s="7">
        <f t="shared" si="3"/>
        <v>0</v>
      </c>
    </row>
    <row r="21" spans="1:7" x14ac:dyDescent="0.3">
      <c r="A21" s="102" t="s">
        <v>244</v>
      </c>
      <c r="B21" s="102"/>
      <c r="C21" s="102"/>
      <c r="D21" s="102"/>
      <c r="E21" s="102"/>
      <c r="F21" s="102"/>
      <c r="G21" s="102"/>
    </row>
    <row r="22" spans="1:7" x14ac:dyDescent="0.3">
      <c r="A22" s="2" t="s">
        <v>155</v>
      </c>
      <c r="B22" s="2" t="s">
        <v>234</v>
      </c>
      <c r="C22" s="2" t="s">
        <v>108</v>
      </c>
      <c r="D22" s="2" t="s">
        <v>109</v>
      </c>
      <c r="E22" s="2" t="s">
        <v>110</v>
      </c>
      <c r="F22" s="2" t="s">
        <v>111</v>
      </c>
      <c r="G22" s="2" t="s">
        <v>112</v>
      </c>
    </row>
    <row r="23" spans="1:7" x14ac:dyDescent="0.3">
      <c r="A23" s="3" t="s">
        <v>245</v>
      </c>
      <c r="B23" s="4"/>
      <c r="C23" s="4"/>
      <c r="D23" s="4"/>
      <c r="E23" s="4"/>
      <c r="F23" s="4"/>
      <c r="G23" s="4"/>
    </row>
    <row r="24" spans="1:7" x14ac:dyDescent="0.3">
      <c r="A24" s="3" t="s">
        <v>246</v>
      </c>
      <c r="B24" s="4"/>
      <c r="C24" s="4"/>
      <c r="D24" s="4"/>
      <c r="E24" s="4"/>
      <c r="F24" s="4"/>
      <c r="G24" s="4"/>
    </row>
    <row r="25" spans="1:7" x14ac:dyDescent="0.3">
      <c r="A25" s="3" t="s">
        <v>247</v>
      </c>
      <c r="B25" s="4"/>
      <c r="C25" s="4"/>
      <c r="D25" s="4"/>
      <c r="E25" s="4"/>
      <c r="F25" s="4"/>
      <c r="G25" s="4"/>
    </row>
    <row r="26" spans="1:7" x14ac:dyDescent="0.3">
      <c r="A26" s="3" t="s">
        <v>248</v>
      </c>
      <c r="B26" s="5">
        <f t="shared" ref="B26:G26" si="4">IFERROR(B7*B23/365,0)</f>
        <v>0</v>
      </c>
      <c r="C26" s="5">
        <f t="shared" si="4"/>
        <v>0</v>
      </c>
      <c r="D26" s="5">
        <f t="shared" si="4"/>
        <v>0</v>
      </c>
      <c r="E26" s="5">
        <f t="shared" si="4"/>
        <v>0</v>
      </c>
      <c r="F26" s="5">
        <f t="shared" si="4"/>
        <v>0</v>
      </c>
      <c r="G26" s="5">
        <f t="shared" si="4"/>
        <v>0</v>
      </c>
    </row>
    <row r="27" spans="1:7" x14ac:dyDescent="0.3">
      <c r="A27" s="3" t="s">
        <v>125</v>
      </c>
      <c r="B27" s="5">
        <f t="shared" ref="B27:G27" si="5">IFERROR(B12*B24/365,0)</f>
        <v>0</v>
      </c>
      <c r="C27" s="5">
        <f t="shared" si="5"/>
        <v>0</v>
      </c>
      <c r="D27" s="5">
        <f t="shared" si="5"/>
        <v>0</v>
      </c>
      <c r="E27" s="5">
        <f t="shared" si="5"/>
        <v>0</v>
      </c>
      <c r="F27" s="5">
        <f t="shared" si="5"/>
        <v>0</v>
      </c>
      <c r="G27" s="5">
        <f t="shared" si="5"/>
        <v>0</v>
      </c>
    </row>
    <row r="28" spans="1:7" x14ac:dyDescent="0.3">
      <c r="A28" s="3" t="s">
        <v>249</v>
      </c>
      <c r="B28" s="5">
        <f t="shared" ref="B28:G28" si="6">IFERROR(B12*B25/365,0)</f>
        <v>0</v>
      </c>
      <c r="C28" s="5">
        <f t="shared" si="6"/>
        <v>0</v>
      </c>
      <c r="D28" s="5">
        <f t="shared" si="6"/>
        <v>0</v>
      </c>
      <c r="E28" s="5">
        <f t="shared" si="6"/>
        <v>0</v>
      </c>
      <c r="F28" s="5">
        <f t="shared" si="6"/>
        <v>0</v>
      </c>
      <c r="G28" s="5">
        <f t="shared" si="6"/>
        <v>0</v>
      </c>
    </row>
    <row r="29" spans="1:7" x14ac:dyDescent="0.3">
      <c r="A29" s="3" t="s">
        <v>250</v>
      </c>
      <c r="B29" s="7">
        <f t="shared" ref="B29:G29" si="7">B26+B27-B28</f>
        <v>0</v>
      </c>
      <c r="C29" s="7">
        <f t="shared" si="7"/>
        <v>0</v>
      </c>
      <c r="D29" s="7">
        <f t="shared" si="7"/>
        <v>0</v>
      </c>
      <c r="E29" s="7">
        <f t="shared" si="7"/>
        <v>0</v>
      </c>
      <c r="F29" s="7">
        <f t="shared" si="7"/>
        <v>0</v>
      </c>
      <c r="G29" s="7">
        <f t="shared" si="7"/>
        <v>0</v>
      </c>
    </row>
    <row r="30" spans="1:7" x14ac:dyDescent="0.3">
      <c r="A30" s="3" t="s">
        <v>251</v>
      </c>
      <c r="B30" s="5"/>
      <c r="C30" s="5">
        <f>C29-B29</f>
        <v>0</v>
      </c>
      <c r="D30" s="5">
        <f>D29-C29</f>
        <v>0</v>
      </c>
      <c r="E30" s="5">
        <f>E29-D29</f>
        <v>0</v>
      </c>
      <c r="F30" s="5">
        <f>F29-E29</f>
        <v>0</v>
      </c>
      <c r="G30" s="5">
        <f>G29-F29</f>
        <v>0</v>
      </c>
    </row>
    <row r="32" spans="1:7" x14ac:dyDescent="0.3">
      <c r="A32" s="102" t="s">
        <v>252</v>
      </c>
      <c r="B32" s="102"/>
      <c r="C32" s="102"/>
      <c r="D32" s="102"/>
      <c r="E32" s="102"/>
      <c r="F32" s="102"/>
      <c r="G32" s="102"/>
    </row>
    <row r="33" spans="1:7" x14ac:dyDescent="0.3">
      <c r="A33" s="2" t="s">
        <v>155</v>
      </c>
      <c r="B33" s="2" t="s">
        <v>234</v>
      </c>
      <c r="C33" s="2" t="s">
        <v>108</v>
      </c>
      <c r="D33" s="2" t="s">
        <v>109</v>
      </c>
      <c r="E33" s="2" t="s">
        <v>110</v>
      </c>
      <c r="F33" s="2" t="s">
        <v>111</v>
      </c>
      <c r="G33" s="2" t="s">
        <v>112</v>
      </c>
    </row>
    <row r="34" spans="1:7" x14ac:dyDescent="0.3">
      <c r="A34" s="3" t="s">
        <v>253</v>
      </c>
      <c r="B34" s="4"/>
      <c r="C34" s="4"/>
      <c r="D34" s="4"/>
      <c r="E34" s="4"/>
      <c r="F34" s="4"/>
      <c r="G34" s="4"/>
    </row>
    <row r="35" spans="1:7" x14ac:dyDescent="0.3">
      <c r="A35" s="3" t="s">
        <v>254</v>
      </c>
      <c r="B35" s="5">
        <f t="shared" ref="B35:G35" si="8">B7*B34</f>
        <v>0</v>
      </c>
      <c r="C35" s="5">
        <f t="shared" si="8"/>
        <v>0</v>
      </c>
      <c r="D35" s="5">
        <f t="shared" si="8"/>
        <v>0</v>
      </c>
      <c r="E35" s="5">
        <f t="shared" si="8"/>
        <v>0</v>
      </c>
      <c r="F35" s="5">
        <f t="shared" si="8"/>
        <v>0</v>
      </c>
      <c r="G35" s="5">
        <f t="shared" si="8"/>
        <v>0</v>
      </c>
    </row>
    <row r="37" spans="1:7" x14ac:dyDescent="0.3">
      <c r="A37" s="102" t="s">
        <v>255</v>
      </c>
      <c r="B37" s="102"/>
      <c r="C37" s="102"/>
      <c r="D37" s="102"/>
      <c r="E37" s="102"/>
      <c r="F37" s="102"/>
      <c r="G37" s="102"/>
    </row>
    <row r="38" spans="1:7" x14ac:dyDescent="0.3">
      <c r="A38" s="2" t="s">
        <v>155</v>
      </c>
      <c r="B38" s="2" t="s">
        <v>234</v>
      </c>
      <c r="C38" s="2" t="s">
        <v>108</v>
      </c>
      <c r="D38" s="2" t="s">
        <v>109</v>
      </c>
      <c r="E38" s="2" t="s">
        <v>110</v>
      </c>
      <c r="F38" s="2" t="s">
        <v>111</v>
      </c>
      <c r="G38" s="2" t="s">
        <v>112</v>
      </c>
    </row>
    <row r="39" spans="1:7" x14ac:dyDescent="0.3">
      <c r="A39" s="3" t="s">
        <v>256</v>
      </c>
      <c r="B39" s="4"/>
      <c r="C39" s="4"/>
      <c r="D39" s="4"/>
      <c r="E39" s="4"/>
      <c r="F39" s="4"/>
      <c r="G39" s="4"/>
    </row>
    <row r="40" spans="1:7" x14ac:dyDescent="0.3">
      <c r="A40" s="3" t="s">
        <v>118</v>
      </c>
      <c r="B40" s="5">
        <f t="shared" ref="B40:G40" si="9">B7*B39</f>
        <v>0</v>
      </c>
      <c r="C40" s="5">
        <f t="shared" si="9"/>
        <v>0</v>
      </c>
      <c r="D40" s="5">
        <f t="shared" si="9"/>
        <v>0</v>
      </c>
      <c r="E40" s="5">
        <f t="shared" si="9"/>
        <v>0</v>
      </c>
      <c r="F40" s="5">
        <f t="shared" si="9"/>
        <v>0</v>
      </c>
      <c r="G40" s="5">
        <f t="shared" si="9"/>
        <v>0</v>
      </c>
    </row>
    <row r="41" spans="1:7" x14ac:dyDescent="0.3">
      <c r="A41" s="3" t="s">
        <v>119</v>
      </c>
      <c r="B41" s="7">
        <f t="shared" ref="B41:G41" si="10">B19-B40</f>
        <v>0</v>
      </c>
      <c r="C41" s="7">
        <f t="shared" si="10"/>
        <v>0</v>
      </c>
      <c r="D41" s="7">
        <f t="shared" si="10"/>
        <v>0</v>
      </c>
      <c r="E41" s="7">
        <f t="shared" si="10"/>
        <v>0</v>
      </c>
      <c r="F41" s="7">
        <f t="shared" si="10"/>
        <v>0</v>
      </c>
      <c r="G41" s="7">
        <f t="shared" si="10"/>
        <v>0</v>
      </c>
    </row>
    <row r="43" spans="1:7" x14ac:dyDescent="0.3">
      <c r="A43" s="102" t="s">
        <v>257</v>
      </c>
      <c r="B43" s="102"/>
      <c r="C43" s="102"/>
      <c r="D43" s="102"/>
      <c r="E43" s="102"/>
      <c r="F43" s="102"/>
      <c r="G43" s="102"/>
    </row>
    <row r="44" spans="1:7" x14ac:dyDescent="0.3">
      <c r="A44" s="2" t="s">
        <v>155</v>
      </c>
      <c r="B44" s="2" t="s">
        <v>234</v>
      </c>
      <c r="C44" s="2" t="s">
        <v>108</v>
      </c>
      <c r="D44" s="2" t="s">
        <v>109</v>
      </c>
      <c r="E44" s="2" t="s">
        <v>110</v>
      </c>
      <c r="F44" s="2" t="s">
        <v>111</v>
      </c>
      <c r="G44" s="2" t="s">
        <v>112</v>
      </c>
    </row>
    <row r="45" spans="1:7" x14ac:dyDescent="0.3">
      <c r="A45" s="3" t="s">
        <v>258</v>
      </c>
      <c r="B45" s="4"/>
      <c r="C45" s="5">
        <f>B48</f>
        <v>0</v>
      </c>
      <c r="D45" s="5">
        <f>C48</f>
        <v>0</v>
      </c>
      <c r="E45" s="5">
        <f>D48</f>
        <v>0</v>
      </c>
      <c r="F45" s="5">
        <f>E48</f>
        <v>0</v>
      </c>
      <c r="G45" s="5">
        <f>F48</f>
        <v>0</v>
      </c>
    </row>
    <row r="46" spans="1:7" x14ac:dyDescent="0.3">
      <c r="A46" s="3" t="s">
        <v>259</v>
      </c>
      <c r="B46" s="4"/>
      <c r="C46" s="4"/>
      <c r="D46" s="4"/>
      <c r="E46" s="4"/>
      <c r="F46" s="4"/>
      <c r="G46" s="4"/>
    </row>
    <row r="47" spans="1:7" x14ac:dyDescent="0.3">
      <c r="A47" s="3" t="s">
        <v>260</v>
      </c>
      <c r="B47" s="4"/>
      <c r="C47" s="4"/>
      <c r="D47" s="4"/>
      <c r="E47" s="4"/>
      <c r="F47" s="4"/>
      <c r="G47" s="4"/>
    </row>
    <row r="48" spans="1:7" x14ac:dyDescent="0.3">
      <c r="A48" s="3" t="s">
        <v>261</v>
      </c>
      <c r="B48" s="7">
        <f t="shared" ref="B48:G48" si="11">B45+B46-B47</f>
        <v>0</v>
      </c>
      <c r="C48" s="7">
        <f t="shared" si="11"/>
        <v>0</v>
      </c>
      <c r="D48" s="7">
        <f t="shared" si="11"/>
        <v>0</v>
      </c>
      <c r="E48" s="7">
        <f t="shared" si="11"/>
        <v>0</v>
      </c>
      <c r="F48" s="7">
        <f t="shared" si="11"/>
        <v>0</v>
      </c>
      <c r="G48" s="7">
        <f t="shared" si="11"/>
        <v>0</v>
      </c>
    </row>
    <row r="49" spans="1:7" x14ac:dyDescent="0.3">
      <c r="A49" s="3" t="s">
        <v>262</v>
      </c>
      <c r="B49" s="4"/>
      <c r="C49" s="4"/>
      <c r="D49" s="4"/>
      <c r="E49" s="4"/>
      <c r="F49" s="4"/>
      <c r="G49" s="4"/>
    </row>
    <row r="50" spans="1:7" x14ac:dyDescent="0.3">
      <c r="A50" s="3" t="s">
        <v>263</v>
      </c>
      <c r="B50" s="5">
        <f t="shared" ref="B50:G50" si="12">IFERROR((B45+B48)/2*B49,0)</f>
        <v>0</v>
      </c>
      <c r="C50" s="5">
        <f t="shared" si="12"/>
        <v>0</v>
      </c>
      <c r="D50" s="5">
        <f t="shared" si="12"/>
        <v>0</v>
      </c>
      <c r="E50" s="5">
        <f t="shared" si="12"/>
        <v>0</v>
      </c>
      <c r="F50" s="5">
        <f t="shared" si="12"/>
        <v>0</v>
      </c>
      <c r="G50" s="5">
        <f t="shared" si="12"/>
        <v>0</v>
      </c>
    </row>
    <row r="52" spans="1:7" x14ac:dyDescent="0.3">
      <c r="A52" s="102" t="s">
        <v>264</v>
      </c>
      <c r="B52" s="102"/>
      <c r="C52" s="102"/>
      <c r="D52" s="102"/>
      <c r="E52" s="102"/>
      <c r="F52" s="102"/>
      <c r="G52" s="102"/>
    </row>
    <row r="53" spans="1:7" x14ac:dyDescent="0.3">
      <c r="A53" s="2" t="s">
        <v>155</v>
      </c>
      <c r="B53" s="2" t="s">
        <v>234</v>
      </c>
      <c r="C53" s="2" t="s">
        <v>108</v>
      </c>
      <c r="D53" s="2" t="s">
        <v>109</v>
      </c>
      <c r="E53" s="2" t="s">
        <v>110</v>
      </c>
      <c r="F53" s="2" t="s">
        <v>111</v>
      </c>
      <c r="G53" s="2" t="s">
        <v>112</v>
      </c>
    </row>
    <row r="54" spans="1:7" x14ac:dyDescent="0.3">
      <c r="A54" s="3" t="s">
        <v>119</v>
      </c>
      <c r="B54" s="5">
        <f t="shared" ref="B54:G54" si="13">B41</f>
        <v>0</v>
      </c>
      <c r="C54" s="5">
        <f t="shared" si="13"/>
        <v>0</v>
      </c>
      <c r="D54" s="5">
        <f t="shared" si="13"/>
        <v>0</v>
      </c>
      <c r="E54" s="5">
        <f t="shared" si="13"/>
        <v>0</v>
      </c>
      <c r="F54" s="5">
        <f t="shared" si="13"/>
        <v>0</v>
      </c>
      <c r="G54" s="5">
        <f t="shared" si="13"/>
        <v>0</v>
      </c>
    </row>
    <row r="55" spans="1:7" x14ac:dyDescent="0.3">
      <c r="A55" s="3" t="s">
        <v>199</v>
      </c>
      <c r="B55" s="4"/>
      <c r="C55" s="4"/>
      <c r="D55" s="4"/>
      <c r="E55" s="4"/>
      <c r="F55" s="4"/>
      <c r="G55" s="4"/>
    </row>
    <row r="56" spans="1:7" x14ac:dyDescent="0.3">
      <c r="A56" s="3" t="s">
        <v>265</v>
      </c>
      <c r="B56" s="5">
        <f t="shared" ref="B56:G56" si="14">B54*(1-B55)</f>
        <v>0</v>
      </c>
      <c r="C56" s="5">
        <f t="shared" si="14"/>
        <v>0</v>
      </c>
      <c r="D56" s="5">
        <f t="shared" si="14"/>
        <v>0</v>
      </c>
      <c r="E56" s="5">
        <f t="shared" si="14"/>
        <v>0</v>
      </c>
      <c r="F56" s="5">
        <f t="shared" si="14"/>
        <v>0</v>
      </c>
      <c r="G56" s="5">
        <f t="shared" si="14"/>
        <v>0</v>
      </c>
    </row>
    <row r="57" spans="1:7" x14ac:dyDescent="0.3">
      <c r="A57" s="3" t="e" cm="1">
        <f t="array" ref="A57">+ Depreciation</f>
        <v>#NAME?</v>
      </c>
      <c r="B57" s="5">
        <f t="shared" ref="B57:G57" si="15">B40</f>
        <v>0</v>
      </c>
      <c r="C57" s="5">
        <f t="shared" si="15"/>
        <v>0</v>
      </c>
      <c r="D57" s="5">
        <f t="shared" si="15"/>
        <v>0</v>
      </c>
      <c r="E57" s="5">
        <f t="shared" si="15"/>
        <v>0</v>
      </c>
      <c r="F57" s="5">
        <f t="shared" si="15"/>
        <v>0</v>
      </c>
      <c r="G57" s="5">
        <f t="shared" si="15"/>
        <v>0</v>
      </c>
    </row>
    <row r="58" spans="1:7" x14ac:dyDescent="0.3">
      <c r="A58" s="3" t="e" cm="1">
        <f t="array" ref="A58">- Change in NWC</f>
        <v>#NAME?</v>
      </c>
      <c r="B58" s="5">
        <f>0</f>
        <v>0</v>
      </c>
      <c r="C58" s="5">
        <f>C30</f>
        <v>0</v>
      </c>
      <c r="D58" s="5">
        <f>D30</f>
        <v>0</v>
      </c>
      <c r="E58" s="5">
        <f>E30</f>
        <v>0</v>
      </c>
      <c r="F58" s="5">
        <f>F30</f>
        <v>0</v>
      </c>
      <c r="G58" s="5">
        <f>G30</f>
        <v>0</v>
      </c>
    </row>
    <row r="59" spans="1:7" x14ac:dyDescent="0.3">
      <c r="A59" s="3" t="e" cm="1">
        <f t="array" ref="A59">- Capex</f>
        <v>#NAME?</v>
      </c>
      <c r="B59" s="5">
        <f t="shared" ref="B59:G59" si="16">B35</f>
        <v>0</v>
      </c>
      <c r="C59" s="5">
        <f t="shared" si="16"/>
        <v>0</v>
      </c>
      <c r="D59" s="5">
        <f t="shared" si="16"/>
        <v>0</v>
      </c>
      <c r="E59" s="5">
        <f t="shared" si="16"/>
        <v>0</v>
      </c>
      <c r="F59" s="5">
        <f t="shared" si="16"/>
        <v>0</v>
      </c>
      <c r="G59" s="5">
        <f t="shared" si="16"/>
        <v>0</v>
      </c>
    </row>
    <row r="60" spans="1:7" x14ac:dyDescent="0.3">
      <c r="A60" s="3" t="s">
        <v>138</v>
      </c>
      <c r="B60" s="13">
        <f t="shared" ref="B60:G60" si="17">B56+B57-B58-B59</f>
        <v>0</v>
      </c>
      <c r="C60" s="13">
        <f t="shared" si="17"/>
        <v>0</v>
      </c>
      <c r="D60" s="13">
        <f t="shared" si="17"/>
        <v>0</v>
      </c>
      <c r="E60" s="13">
        <f t="shared" si="17"/>
        <v>0</v>
      </c>
      <c r="F60" s="13">
        <f t="shared" si="17"/>
        <v>0</v>
      </c>
      <c r="G60" s="13">
        <f t="shared" si="17"/>
        <v>0</v>
      </c>
    </row>
  </sheetData>
  <mergeCells count="9">
    <mergeCell ref="A37:G37"/>
    <mergeCell ref="A43:G43"/>
    <mergeCell ref="A52:G52"/>
    <mergeCell ref="A1:G1"/>
    <mergeCell ref="A3:G3"/>
    <mergeCell ref="A9:G9"/>
    <mergeCell ref="A15:G15"/>
    <mergeCell ref="A21:G21"/>
    <mergeCell ref="A32:G3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953C-F5D3-4E2C-885C-B6F5D8C3A43B}">
  <dimension ref="A1:H29"/>
  <sheetViews>
    <sheetView workbookViewId="0"/>
  </sheetViews>
  <sheetFormatPr defaultRowHeight="14.4" x14ac:dyDescent="0.3"/>
  <cols>
    <col min="1" max="1" width="28.5546875" customWidth="1"/>
    <col min="2" max="8" width="19" customWidth="1"/>
  </cols>
  <sheetData>
    <row r="1" spans="1:8" ht="18" x14ac:dyDescent="0.35">
      <c r="A1" s="99" t="s">
        <v>266</v>
      </c>
      <c r="B1" s="99"/>
      <c r="C1" s="99"/>
      <c r="D1" s="99"/>
      <c r="E1" s="99"/>
      <c r="F1" s="99"/>
      <c r="G1" s="99"/>
      <c r="H1" s="99"/>
    </row>
    <row r="3" spans="1:8" x14ac:dyDescent="0.3">
      <c r="A3" s="102" t="s">
        <v>267</v>
      </c>
      <c r="B3" s="102"/>
      <c r="C3" s="102"/>
      <c r="D3" s="102"/>
      <c r="E3" s="102"/>
      <c r="F3" s="102"/>
      <c r="G3" s="102"/>
    </row>
    <row r="5" spans="1:8" x14ac:dyDescent="0.3">
      <c r="A5" s="2" t="s">
        <v>268</v>
      </c>
      <c r="B5" s="2" t="s">
        <v>108</v>
      </c>
      <c r="C5" s="2" t="s">
        <v>109</v>
      </c>
      <c r="D5" s="2" t="s">
        <v>110</v>
      </c>
      <c r="E5" s="2" t="s">
        <v>111</v>
      </c>
      <c r="F5" s="2" t="s">
        <v>112</v>
      </c>
    </row>
    <row r="6" spans="1:8" x14ac:dyDescent="0.3">
      <c r="A6" s="3" t="s">
        <v>113</v>
      </c>
      <c r="B6" s="5">
        <f>Fin_Inputs_Entity1!B5</f>
        <v>0</v>
      </c>
      <c r="C6" s="5">
        <f>Fin_Inputs_Entity1!C5</f>
        <v>0</v>
      </c>
      <c r="D6" s="5">
        <f>Fin_Inputs_Entity1!D5</f>
        <v>0</v>
      </c>
      <c r="E6" s="5">
        <f>Fin_Inputs_Entity1!E5</f>
        <v>0</v>
      </c>
      <c r="F6" s="5">
        <f>Fin_Inputs_Entity1!F5</f>
        <v>0</v>
      </c>
    </row>
    <row r="7" spans="1:8" x14ac:dyDescent="0.3">
      <c r="A7" s="3" t="s">
        <v>269</v>
      </c>
      <c r="B7" s="5"/>
      <c r="C7" s="5">
        <f>IFERROR((C6-B6)/B6,0)</f>
        <v>0</v>
      </c>
      <c r="D7" s="5">
        <f>IFERROR((D6-C6)/C6,0)</f>
        <v>0</v>
      </c>
      <c r="E7" s="5">
        <f>IFERROR((E6-D6)/D6,0)</f>
        <v>0</v>
      </c>
      <c r="F7" s="5">
        <f>IFERROR((F6-E6)/E6,0)</f>
        <v>0</v>
      </c>
    </row>
    <row r="9" spans="1:8" x14ac:dyDescent="0.3">
      <c r="A9" s="2" t="s">
        <v>171</v>
      </c>
      <c r="B9" s="2" t="s">
        <v>108</v>
      </c>
      <c r="C9" s="2" t="s">
        <v>109</v>
      </c>
      <c r="D9" s="2" t="s">
        <v>110</v>
      </c>
      <c r="E9" s="2" t="s">
        <v>111</v>
      </c>
      <c r="F9" s="2" t="s">
        <v>112</v>
      </c>
    </row>
    <row r="10" spans="1:8" x14ac:dyDescent="0.3">
      <c r="A10" s="3" t="s">
        <v>117</v>
      </c>
      <c r="B10" s="5">
        <f>Fin_Inputs_Entity1!B9</f>
        <v>0</v>
      </c>
      <c r="C10" s="5">
        <f>Fin_Inputs_Entity1!C9</f>
        <v>0</v>
      </c>
      <c r="D10" s="5">
        <f>Fin_Inputs_Entity1!D9</f>
        <v>0</v>
      </c>
      <c r="E10" s="5">
        <f>Fin_Inputs_Entity1!E9</f>
        <v>0</v>
      </c>
      <c r="F10" s="5">
        <f>Fin_Inputs_Entity1!F9</f>
        <v>0</v>
      </c>
    </row>
    <row r="11" spans="1:8" x14ac:dyDescent="0.3">
      <c r="A11" s="3" t="s">
        <v>270</v>
      </c>
      <c r="B11" s="5">
        <f>IFERROR(B10/B6,0)</f>
        <v>0</v>
      </c>
      <c r="C11" s="5">
        <f>IFERROR(C10/C6,0)</f>
        <v>0</v>
      </c>
      <c r="D11" s="5">
        <f>IFERROR(D10/D6,0)</f>
        <v>0</v>
      </c>
      <c r="E11" s="5">
        <f>IFERROR(E10/E6,0)</f>
        <v>0</v>
      </c>
      <c r="F11" s="5">
        <f>IFERROR(F10/F6,0)</f>
        <v>0</v>
      </c>
    </row>
    <row r="13" spans="1:8" x14ac:dyDescent="0.3">
      <c r="A13" s="2" t="s">
        <v>271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</row>
    <row r="14" spans="1:8" x14ac:dyDescent="0.3">
      <c r="A14" s="3" t="s">
        <v>138</v>
      </c>
      <c r="B14" s="5">
        <f>Fin_Inputs_Entity1!B37</f>
        <v>0</v>
      </c>
      <c r="C14" s="5">
        <f>Fin_Inputs_Entity1!C37</f>
        <v>0</v>
      </c>
      <c r="D14" s="5">
        <f>Fin_Inputs_Entity1!D37</f>
        <v>0</v>
      </c>
      <c r="E14" s="5">
        <f>Fin_Inputs_Entity1!E37</f>
        <v>0</v>
      </c>
      <c r="F14" s="5">
        <f>Fin_Inputs_Entity1!F37</f>
        <v>0</v>
      </c>
    </row>
    <row r="16" spans="1:8" x14ac:dyDescent="0.3">
      <c r="A16" s="2" t="s">
        <v>272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112</v>
      </c>
    </row>
    <row r="17" spans="1:6" x14ac:dyDescent="0.3">
      <c r="A17" s="3" t="s">
        <v>126</v>
      </c>
      <c r="B17" s="5">
        <f>Fin_Inputs_Entity1!B21</f>
        <v>0</v>
      </c>
      <c r="C17" s="5">
        <f>Fin_Inputs_Entity1!C21</f>
        <v>0</v>
      </c>
      <c r="D17" s="5">
        <f>Fin_Inputs_Entity1!D21</f>
        <v>0</v>
      </c>
      <c r="E17" s="5">
        <f>Fin_Inputs_Entity1!E21</f>
        <v>0</v>
      </c>
      <c r="F17" s="5">
        <f>Fin_Inputs_Entity1!F21</f>
        <v>0</v>
      </c>
    </row>
    <row r="18" spans="1:6" x14ac:dyDescent="0.3">
      <c r="A18" s="3" t="s">
        <v>273</v>
      </c>
      <c r="B18" s="5">
        <f>SUM(Fin_Inputs_Entity1!B24:B26)</f>
        <v>0</v>
      </c>
      <c r="C18" s="5">
        <f>SUM(Fin_Inputs_Entity1!C24:C26)</f>
        <v>0</v>
      </c>
      <c r="D18" s="5">
        <f>SUM(Fin_Inputs_Entity1!D24:D26)</f>
        <v>0</v>
      </c>
      <c r="E18" s="5">
        <f>SUM(Fin_Inputs_Entity1!E24:E26)</f>
        <v>0</v>
      </c>
      <c r="F18" s="5">
        <f>SUM(Fin_Inputs_Entity1!F24:F26)</f>
        <v>0</v>
      </c>
    </row>
    <row r="19" spans="1:6" x14ac:dyDescent="0.3">
      <c r="A19" s="3" t="s">
        <v>274</v>
      </c>
      <c r="B19" s="5">
        <f>B17-B18</f>
        <v>0</v>
      </c>
      <c r="C19" s="5">
        <f>C17-C18</f>
        <v>0</v>
      </c>
      <c r="D19" s="5">
        <f>D17-D18</f>
        <v>0</v>
      </c>
      <c r="E19" s="5">
        <f>E17-E18</f>
        <v>0</v>
      </c>
      <c r="F19" s="5">
        <f>F17-F18</f>
        <v>0</v>
      </c>
    </row>
    <row r="21" spans="1:6" x14ac:dyDescent="0.3">
      <c r="A21" s="2" t="s">
        <v>275</v>
      </c>
      <c r="B21" s="2" t="s">
        <v>276</v>
      </c>
      <c r="C21" s="2" t="s">
        <v>277</v>
      </c>
      <c r="D21" s="2" t="s">
        <v>278</v>
      </c>
    </row>
    <row r="22" spans="1:6" x14ac:dyDescent="0.3">
      <c r="A22" s="3" t="s">
        <v>91</v>
      </c>
      <c r="B22" s="5" t="str">
        <f>NR_DCF_Value</f>
        <v/>
      </c>
      <c r="C22" s="5" t="str">
        <f>NR_Multiples_Value</f>
        <v>Valuation!D30</v>
      </c>
      <c r="D22" s="5" t="str">
        <f>NR_Final_Valuation</f>
        <v/>
      </c>
    </row>
    <row r="24" spans="1:6" x14ac:dyDescent="0.3">
      <c r="A24" s="2" t="s">
        <v>279</v>
      </c>
      <c r="B24" s="2" t="s">
        <v>280</v>
      </c>
      <c r="C24" s="2" t="s">
        <v>281</v>
      </c>
      <c r="D24" s="2" t="s">
        <v>282</v>
      </c>
    </row>
    <row r="25" spans="1:6" x14ac:dyDescent="0.3">
      <c r="A25" s="3" t="s">
        <v>171</v>
      </c>
      <c r="B25" s="5" t="str">
        <f>KPIs!C6</f>
        <v/>
      </c>
      <c r="C25" s="5">
        <f>Benchmarking!C5</f>
        <v>0</v>
      </c>
      <c r="D25" s="5" t="e">
        <f>B25-C25</f>
        <v>#VALUE!</v>
      </c>
    </row>
    <row r="26" spans="1:6" x14ac:dyDescent="0.3">
      <c r="A26" s="3" t="s">
        <v>173</v>
      </c>
      <c r="B26" s="5" t="str">
        <f>KPIs!C7</f>
        <v/>
      </c>
      <c r="C26" s="5">
        <f>Benchmarking!C6</f>
        <v>0</v>
      </c>
      <c r="D26" s="5" t="e">
        <f>B26-C26</f>
        <v>#VALUE!</v>
      </c>
    </row>
    <row r="27" spans="1:6" x14ac:dyDescent="0.3">
      <c r="A27" s="3" t="s">
        <v>268</v>
      </c>
      <c r="B27" s="5" t="str">
        <f>KPIs!C4</f>
        <v/>
      </c>
      <c r="C27" s="5">
        <f>Benchmarking!C4</f>
        <v>0</v>
      </c>
      <c r="D27" s="5" t="e">
        <f>B27-C27</f>
        <v>#VALUE!</v>
      </c>
    </row>
    <row r="29" spans="1:6" x14ac:dyDescent="0.3">
      <c r="A29" s="6" t="s">
        <v>283</v>
      </c>
    </row>
  </sheetData>
  <mergeCells count="2">
    <mergeCell ref="A1:H1"/>
    <mergeCell ref="A3:G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F80A-9C00-4F11-964D-05252278FC9A}">
  <dimension ref="A1:D10"/>
  <sheetViews>
    <sheetView workbookViewId="0"/>
  </sheetViews>
  <sheetFormatPr defaultRowHeight="14.4" x14ac:dyDescent="0.3"/>
  <cols>
    <col min="1" max="1" width="34.33203125" customWidth="1"/>
    <col min="2" max="4" width="22.88671875" customWidth="1"/>
  </cols>
  <sheetData>
    <row r="1" spans="1:4" ht="18" x14ac:dyDescent="0.35">
      <c r="A1" s="99" t="s">
        <v>284</v>
      </c>
      <c r="B1" s="99"/>
      <c r="C1" s="99"/>
      <c r="D1" s="99"/>
    </row>
    <row r="3" spans="1:4" x14ac:dyDescent="0.3">
      <c r="A3" s="2" t="s">
        <v>220</v>
      </c>
      <c r="B3" s="2" t="s">
        <v>280</v>
      </c>
      <c r="C3" s="2" t="s">
        <v>285</v>
      </c>
      <c r="D3" s="2" t="s">
        <v>282</v>
      </c>
    </row>
    <row r="4" spans="1:4" x14ac:dyDescent="0.3">
      <c r="A4" s="3" t="s">
        <v>268</v>
      </c>
      <c r="B4" s="14" t="str">
        <f>KPIs!C4</f>
        <v/>
      </c>
      <c r="C4" s="19"/>
      <c r="D4" s="14">
        <f>IFERROR(B4-C4,0)</f>
        <v>0</v>
      </c>
    </row>
    <row r="5" spans="1:4" x14ac:dyDescent="0.3">
      <c r="A5" s="3" t="s">
        <v>171</v>
      </c>
      <c r="B5" s="14" t="str">
        <f>KPIs!C6</f>
        <v/>
      </c>
      <c r="C5" s="19"/>
      <c r="D5" s="14">
        <f>IFERROR(B5-C5,0)</f>
        <v>0</v>
      </c>
    </row>
    <row r="6" spans="1:4" x14ac:dyDescent="0.3">
      <c r="A6" s="3" t="s">
        <v>173</v>
      </c>
      <c r="B6" s="14" t="str">
        <f>KPIs!C7</f>
        <v/>
      </c>
      <c r="C6" s="19"/>
      <c r="D6" s="14">
        <f>IFERROR(B6-C6,0)</f>
        <v>0</v>
      </c>
    </row>
    <row r="7" spans="1:4" x14ac:dyDescent="0.3">
      <c r="A7" s="3" t="s">
        <v>286</v>
      </c>
      <c r="B7" s="18" t="str">
        <f>KPIs!C11</f>
        <v/>
      </c>
      <c r="C7" s="20"/>
      <c r="D7" s="18">
        <f>IFERROR(B7-C7,0)</f>
        <v>0</v>
      </c>
    </row>
    <row r="8" spans="1:4" x14ac:dyDescent="0.3">
      <c r="A8" s="3" t="s">
        <v>287</v>
      </c>
      <c r="B8" s="14" t="str">
        <f>KPIs!C8</f>
        <v/>
      </c>
      <c r="C8" s="19"/>
      <c r="D8" s="14">
        <f>IFERROR(B8-C8,0)</f>
        <v>0</v>
      </c>
    </row>
    <row r="10" spans="1:4" x14ac:dyDescent="0.3">
      <c r="A10" s="6" t="s">
        <v>288</v>
      </c>
    </row>
  </sheetData>
  <mergeCells count="1">
    <mergeCell ref="A1:D1"/>
  </mergeCells>
  <conditionalFormatting sqref="D4:D8">
    <cfRule type="cellIs" dxfId="10" priority="1" operator="greaterThan">
      <formula>0</formula>
    </cfRule>
    <cfRule type="cellIs" dxfId="9" priority="2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72D9-8BA2-44A7-BA5E-912C90B89B36}">
  <dimension ref="A1:E38"/>
  <sheetViews>
    <sheetView workbookViewId="0"/>
  </sheetViews>
  <sheetFormatPr defaultRowHeight="14.4" x14ac:dyDescent="0.3"/>
  <cols>
    <col min="1" max="1" width="34.33203125" customWidth="1"/>
    <col min="2" max="5" width="22.88671875" customWidth="1"/>
  </cols>
  <sheetData>
    <row r="1" spans="1:5" ht="18" x14ac:dyDescent="0.35">
      <c r="A1" s="99" t="s">
        <v>289</v>
      </c>
      <c r="B1" s="99"/>
      <c r="C1" s="99"/>
      <c r="D1" s="99"/>
      <c r="E1" s="99"/>
    </row>
    <row r="3" spans="1:5" x14ac:dyDescent="0.3">
      <c r="A3" s="102" t="s">
        <v>290</v>
      </c>
      <c r="B3" s="102"/>
      <c r="C3" s="102"/>
      <c r="D3" s="102"/>
      <c r="E3" s="102"/>
    </row>
    <row r="4" spans="1:5" x14ac:dyDescent="0.3">
      <c r="A4" s="2" t="s">
        <v>291</v>
      </c>
      <c r="B4" s="2" t="s">
        <v>292</v>
      </c>
      <c r="C4" s="2" t="s">
        <v>293</v>
      </c>
      <c r="D4" s="2" t="s">
        <v>282</v>
      </c>
      <c r="E4" s="2" t="s">
        <v>90</v>
      </c>
    </row>
    <row r="5" spans="1:5" x14ac:dyDescent="0.3">
      <c r="A5" s="3" t="s">
        <v>294</v>
      </c>
      <c r="B5" s="4"/>
      <c r="C5" s="4"/>
      <c r="D5" s="5">
        <f>IFERROR(C5-B5,0)</f>
        <v>0</v>
      </c>
    </row>
    <row r="6" spans="1:5" x14ac:dyDescent="0.3">
      <c r="A6" s="3" t="s">
        <v>295</v>
      </c>
      <c r="B6" s="4"/>
      <c r="C6" s="4"/>
      <c r="D6" s="5">
        <f>IFERROR(C6-B6,0)</f>
        <v>0</v>
      </c>
    </row>
    <row r="7" spans="1:5" x14ac:dyDescent="0.3">
      <c r="A7" s="3" t="s">
        <v>296</v>
      </c>
      <c r="B7" s="4"/>
      <c r="C7" s="4"/>
      <c r="D7" s="5">
        <f>IFERROR(C7-B7,0)</f>
        <v>0</v>
      </c>
    </row>
    <row r="8" spans="1:5" x14ac:dyDescent="0.3">
      <c r="A8" s="3" t="s">
        <v>297</v>
      </c>
      <c r="B8" s="4"/>
      <c r="C8" s="4"/>
      <c r="D8" s="5">
        <f>IFERROR(C8-B8,0)</f>
        <v>0</v>
      </c>
    </row>
    <row r="10" spans="1:5" x14ac:dyDescent="0.3">
      <c r="A10" s="102" t="s">
        <v>298</v>
      </c>
      <c r="B10" s="102"/>
      <c r="C10" s="102"/>
      <c r="D10" s="102"/>
      <c r="E10" s="102"/>
    </row>
    <row r="11" spans="1:5" x14ac:dyDescent="0.3">
      <c r="A11" s="2" t="s">
        <v>291</v>
      </c>
      <c r="B11" s="2" t="s">
        <v>292</v>
      </c>
      <c r="C11" s="2" t="s">
        <v>293</v>
      </c>
      <c r="D11" s="2" t="s">
        <v>282</v>
      </c>
      <c r="E11" s="2" t="s">
        <v>90</v>
      </c>
    </row>
    <row r="12" spans="1:5" x14ac:dyDescent="0.3">
      <c r="A12" s="3" t="s">
        <v>299</v>
      </c>
      <c r="B12" s="4"/>
      <c r="C12" s="4"/>
      <c r="D12" s="5">
        <f>IFERROR(C12-B12,0)</f>
        <v>0</v>
      </c>
    </row>
    <row r="13" spans="1:5" x14ac:dyDescent="0.3">
      <c r="A13" s="3" t="s">
        <v>300</v>
      </c>
      <c r="B13" s="4"/>
      <c r="C13" s="4"/>
      <c r="D13" s="5">
        <f>IFERROR(C13-B13,0)</f>
        <v>0</v>
      </c>
    </row>
    <row r="14" spans="1:5" x14ac:dyDescent="0.3">
      <c r="A14" s="3" t="s">
        <v>301</v>
      </c>
      <c r="B14" s="4"/>
      <c r="C14" s="4"/>
      <c r="D14" s="5">
        <f>IFERROR(C14-B14,0)</f>
        <v>0</v>
      </c>
    </row>
    <row r="15" spans="1:5" x14ac:dyDescent="0.3">
      <c r="A15" s="3" t="s">
        <v>302</v>
      </c>
      <c r="B15" s="4"/>
      <c r="C15" s="4"/>
      <c r="D15" s="5">
        <f>IFERROR(C15-B15,0)</f>
        <v>0</v>
      </c>
    </row>
    <row r="17" spans="1:5" x14ac:dyDescent="0.3">
      <c r="A17" s="102" t="s">
        <v>303</v>
      </c>
      <c r="B17" s="102"/>
      <c r="C17" s="102"/>
      <c r="D17" s="102"/>
      <c r="E17" s="102"/>
    </row>
    <row r="18" spans="1:5" x14ac:dyDescent="0.3">
      <c r="A18" s="2" t="s">
        <v>155</v>
      </c>
      <c r="B18" s="2" t="s">
        <v>304</v>
      </c>
      <c r="C18" s="2" t="s">
        <v>305</v>
      </c>
      <c r="D18" s="2" t="s">
        <v>306</v>
      </c>
      <c r="E18" s="2" t="s">
        <v>307</v>
      </c>
    </row>
    <row r="19" spans="1:5" x14ac:dyDescent="0.3">
      <c r="A19" s="3" t="s">
        <v>113</v>
      </c>
      <c r="B19" s="4"/>
      <c r="C19" s="4"/>
      <c r="D19" s="5">
        <f>IFERROR((C19-B19)/B19,0)</f>
        <v>0</v>
      </c>
    </row>
    <row r="20" spans="1:5" x14ac:dyDescent="0.3">
      <c r="A20" s="3" t="s">
        <v>115</v>
      </c>
      <c r="B20" s="4"/>
      <c r="C20" s="4"/>
      <c r="D20" s="5">
        <f>IFERROR((C20-B20)/B20,0)</f>
        <v>0</v>
      </c>
    </row>
    <row r="21" spans="1:5" x14ac:dyDescent="0.3">
      <c r="A21" s="3" t="s">
        <v>117</v>
      </c>
      <c r="B21" s="4"/>
      <c r="C21" s="4"/>
      <c r="D21" s="5">
        <f>IFERROR((C21-B21)/B21,0)</f>
        <v>0</v>
      </c>
    </row>
    <row r="22" spans="1:5" x14ac:dyDescent="0.3">
      <c r="A22" s="3" t="s">
        <v>122</v>
      </c>
      <c r="B22" s="4"/>
      <c r="C22" s="4"/>
      <c r="D22" s="5">
        <f>IFERROR((C22-B22)/B22,0)</f>
        <v>0</v>
      </c>
    </row>
    <row r="24" spans="1:5" x14ac:dyDescent="0.3">
      <c r="A24" s="103" t="s">
        <v>308</v>
      </c>
      <c r="B24" s="103"/>
      <c r="C24" s="103"/>
      <c r="D24" s="103"/>
      <c r="E24" s="103"/>
    </row>
    <row r="25" spans="1:5" x14ac:dyDescent="0.3">
      <c r="A25" s="2" t="s">
        <v>309</v>
      </c>
      <c r="B25" s="2" t="s">
        <v>310</v>
      </c>
      <c r="C25" s="2" t="s">
        <v>144</v>
      </c>
      <c r="D25" s="2" t="s">
        <v>311</v>
      </c>
      <c r="E25" s="2" t="s">
        <v>312</v>
      </c>
    </row>
    <row r="26" spans="1:5" x14ac:dyDescent="0.3">
      <c r="A26" s="3" t="s">
        <v>313</v>
      </c>
      <c r="B26" s="4"/>
      <c r="C26" s="4"/>
      <c r="D26" s="4"/>
      <c r="E26" s="4"/>
    </row>
    <row r="27" spans="1:5" x14ac:dyDescent="0.3">
      <c r="A27" s="3" t="s">
        <v>314</v>
      </c>
      <c r="B27" s="4"/>
      <c r="C27" s="4"/>
      <c r="D27" s="4"/>
      <c r="E27" s="4"/>
    </row>
    <row r="28" spans="1:5" x14ac:dyDescent="0.3">
      <c r="A28" s="3" t="s">
        <v>315</v>
      </c>
      <c r="B28" s="4"/>
      <c r="C28" s="4"/>
      <c r="D28" s="4"/>
      <c r="E28" s="4"/>
    </row>
    <row r="29" spans="1:5" x14ac:dyDescent="0.3">
      <c r="A29" s="3" t="s">
        <v>316</v>
      </c>
      <c r="B29" s="4"/>
      <c r="C29" s="4"/>
      <c r="D29" s="4"/>
      <c r="E29" s="4"/>
    </row>
    <row r="30" spans="1:5" x14ac:dyDescent="0.3">
      <c r="A30" s="3" t="s">
        <v>317</v>
      </c>
      <c r="B30" s="4"/>
      <c r="C30" s="4"/>
      <c r="D30" s="4"/>
      <c r="E30" s="4"/>
    </row>
    <row r="32" spans="1:5" x14ac:dyDescent="0.3">
      <c r="A32" s="102" t="s">
        <v>318</v>
      </c>
      <c r="B32" s="102"/>
      <c r="C32" s="102"/>
      <c r="D32" s="102"/>
      <c r="E32" s="102"/>
    </row>
    <row r="33" spans="1:5" x14ac:dyDescent="0.3">
      <c r="A33" s="2" t="s">
        <v>319</v>
      </c>
      <c r="B33" s="2" t="s">
        <v>144</v>
      </c>
      <c r="C33" s="2" t="s">
        <v>320</v>
      </c>
      <c r="D33" s="2" t="s">
        <v>321</v>
      </c>
      <c r="E33" s="2" t="s">
        <v>322</v>
      </c>
    </row>
    <row r="34" spans="1:5" x14ac:dyDescent="0.3">
      <c r="A34" s="3" t="s">
        <v>323</v>
      </c>
      <c r="B34" s="5">
        <f>Fin_Inputs_Entity1!F9</f>
        <v>0</v>
      </c>
    </row>
    <row r="35" spans="1:5" x14ac:dyDescent="0.3">
      <c r="A35" s="3" t="s">
        <v>324</v>
      </c>
      <c r="B35" s="5">
        <f>Adjustments!B5</f>
        <v>0</v>
      </c>
      <c r="C35" s="4"/>
      <c r="D35" s="4"/>
      <c r="E35" s="4"/>
    </row>
    <row r="36" spans="1:5" x14ac:dyDescent="0.3">
      <c r="A36" s="3" t="s">
        <v>325</v>
      </c>
      <c r="B36" s="5">
        <f>Adjustments!B6</f>
        <v>0</v>
      </c>
      <c r="C36" s="4"/>
      <c r="D36" s="4"/>
      <c r="E36" s="4"/>
    </row>
    <row r="37" spans="1:5" x14ac:dyDescent="0.3">
      <c r="A37" s="3" t="s">
        <v>326</v>
      </c>
      <c r="B37" s="5">
        <f>Adjustments!B15</f>
        <v>0</v>
      </c>
      <c r="C37" s="4"/>
      <c r="D37" s="4"/>
      <c r="E37" s="4"/>
    </row>
    <row r="38" spans="1:5" x14ac:dyDescent="0.3">
      <c r="A38" s="3" t="s">
        <v>161</v>
      </c>
      <c r="B38" s="7" t="str">
        <f>NR_EBITDA_Normalized</f>
        <v>Adjustments!B21</v>
      </c>
    </row>
  </sheetData>
  <mergeCells count="6">
    <mergeCell ref="A32:E32"/>
    <mergeCell ref="A1:E1"/>
    <mergeCell ref="A3:E3"/>
    <mergeCell ref="A10:E10"/>
    <mergeCell ref="A17:E17"/>
    <mergeCell ref="A24:E24"/>
  </mergeCells>
  <dataValidations count="3">
    <dataValidation type="list" allowBlank="1" showInputMessage="1" showErrorMessage="1" sqref="B26:B30" xr:uid="{B0F000C0-6748-457A-9888-75FD4E62FB76}">
      <formula1>"High,Medium,Low"</formula1>
    </dataValidation>
    <dataValidation type="list" allowBlank="1" showInputMessage="1" showErrorMessage="1" sqref="D26:D30" xr:uid="{FBBC621C-16F5-45FC-A891-AB41071C4361}">
      <formula1>"Open,In Progress,Resolved"</formula1>
    </dataValidation>
    <dataValidation type="list" allowBlank="1" showInputMessage="1" showErrorMessage="1" sqref="C35:C37" xr:uid="{98C4BDA7-BF45-449F-B8CF-66F8347632FB}">
      <formula1>"Yes,No"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2884-A4B2-4009-93D9-B0D6F0206F87}">
  <dimension ref="A1:C47"/>
  <sheetViews>
    <sheetView workbookViewId="0"/>
  </sheetViews>
  <sheetFormatPr defaultRowHeight="14.4" x14ac:dyDescent="0.3"/>
  <cols>
    <col min="1" max="1" width="34.33203125" customWidth="1"/>
    <col min="2" max="3" width="24.6640625" customWidth="1"/>
  </cols>
  <sheetData>
    <row r="1" spans="1:3" ht="18" x14ac:dyDescent="0.35">
      <c r="A1" s="99" t="s">
        <v>327</v>
      </c>
      <c r="B1" s="99"/>
      <c r="C1" s="99"/>
    </row>
    <row r="3" spans="1:3" x14ac:dyDescent="0.3">
      <c r="A3" s="102" t="s">
        <v>328</v>
      </c>
      <c r="B3" s="102"/>
      <c r="C3" s="102"/>
    </row>
    <row r="4" spans="1:3" x14ac:dyDescent="0.3">
      <c r="A4" s="2" t="s">
        <v>329</v>
      </c>
      <c r="B4" s="2" t="s">
        <v>330</v>
      </c>
      <c r="C4" s="2" t="s">
        <v>90</v>
      </c>
    </row>
    <row r="5" spans="1:3" x14ac:dyDescent="0.3">
      <c r="A5" s="3" t="s">
        <v>331</v>
      </c>
      <c r="B5" s="4"/>
    </row>
    <row r="6" spans="1:3" x14ac:dyDescent="0.3">
      <c r="A6" s="3" t="s">
        <v>332</v>
      </c>
      <c r="B6" s="4"/>
    </row>
    <row r="7" spans="1:3" x14ac:dyDescent="0.3">
      <c r="A7" s="3" t="s">
        <v>333</v>
      </c>
      <c r="B7" s="4"/>
    </row>
    <row r="8" spans="1:3" x14ac:dyDescent="0.3">
      <c r="A8" s="3" t="s">
        <v>334</v>
      </c>
      <c r="B8" s="4"/>
    </row>
    <row r="9" spans="1:3" x14ac:dyDescent="0.3">
      <c r="A9" s="3" t="s">
        <v>335</v>
      </c>
      <c r="B9" s="7">
        <f>SUM(B5:B8)</f>
        <v>0</v>
      </c>
      <c r="C9" t="s">
        <v>336</v>
      </c>
    </row>
    <row r="11" spans="1:3" x14ac:dyDescent="0.3">
      <c r="A11" s="102" t="s">
        <v>337</v>
      </c>
      <c r="B11" s="102"/>
      <c r="C11" s="102"/>
    </row>
    <row r="12" spans="1:3" x14ac:dyDescent="0.3">
      <c r="A12" s="2" t="s">
        <v>338</v>
      </c>
      <c r="B12" s="2" t="s">
        <v>144</v>
      </c>
      <c r="C12" s="2" t="s">
        <v>90</v>
      </c>
    </row>
    <row r="13" spans="1:3" x14ac:dyDescent="0.3">
      <c r="A13" s="3" t="s">
        <v>339</v>
      </c>
      <c r="B13" s="4"/>
    </row>
    <row r="14" spans="1:3" x14ac:dyDescent="0.3">
      <c r="A14" s="3" t="s">
        <v>340</v>
      </c>
      <c r="B14" s="4"/>
    </row>
    <row r="15" spans="1:3" x14ac:dyDescent="0.3">
      <c r="A15" s="3" t="s">
        <v>341</v>
      </c>
      <c r="B15" s="4"/>
    </row>
    <row r="16" spans="1:3" x14ac:dyDescent="0.3">
      <c r="A16" s="3" t="s">
        <v>342</v>
      </c>
      <c r="B16" s="4"/>
    </row>
    <row r="17" spans="1:3" x14ac:dyDescent="0.3">
      <c r="A17" s="3" t="s">
        <v>343</v>
      </c>
      <c r="B17" s="7">
        <f>B13+B14+B15-B16</f>
        <v>0</v>
      </c>
    </row>
    <row r="19" spans="1:3" x14ac:dyDescent="0.3">
      <c r="A19" s="102" t="s">
        <v>344</v>
      </c>
      <c r="B19" s="102"/>
      <c r="C19" s="102"/>
    </row>
    <row r="20" spans="1:3" x14ac:dyDescent="0.3">
      <c r="A20" s="2" t="s">
        <v>345</v>
      </c>
      <c r="B20" s="2" t="s">
        <v>346</v>
      </c>
      <c r="C20" s="2" t="s">
        <v>347</v>
      </c>
    </row>
    <row r="21" spans="1:3" x14ac:dyDescent="0.3">
      <c r="A21" s="3" t="s">
        <v>348</v>
      </c>
      <c r="B21" s="4"/>
      <c r="C21" s="4"/>
    </row>
    <row r="22" spans="1:3" x14ac:dyDescent="0.3">
      <c r="A22" s="3" t="s">
        <v>349</v>
      </c>
      <c r="B22" s="4"/>
      <c r="C22" s="4"/>
    </row>
    <row r="23" spans="1:3" x14ac:dyDescent="0.3">
      <c r="A23" s="3" t="s">
        <v>350</v>
      </c>
      <c r="B23" s="4"/>
      <c r="C23" s="4"/>
    </row>
    <row r="24" spans="1:3" x14ac:dyDescent="0.3">
      <c r="A24" s="3" t="s">
        <v>351</v>
      </c>
      <c r="B24" s="4"/>
      <c r="C24" s="4"/>
    </row>
    <row r="25" spans="1:3" x14ac:dyDescent="0.3">
      <c r="A25" s="3" t="s">
        <v>352</v>
      </c>
      <c r="C25" s="7">
        <f>SUM(C21:C24)</f>
        <v>0</v>
      </c>
    </row>
    <row r="27" spans="1:3" x14ac:dyDescent="0.3">
      <c r="A27" s="102" t="s">
        <v>353</v>
      </c>
      <c r="B27" s="102"/>
      <c r="C27" s="102"/>
    </row>
    <row r="28" spans="1:3" x14ac:dyDescent="0.3">
      <c r="A28" s="2" t="s">
        <v>329</v>
      </c>
      <c r="B28" s="2" t="s">
        <v>38</v>
      </c>
      <c r="C28" s="2" t="s">
        <v>354</v>
      </c>
    </row>
    <row r="29" spans="1:3" x14ac:dyDescent="0.3">
      <c r="A29" s="3" t="s">
        <v>355</v>
      </c>
      <c r="B29" s="4"/>
      <c r="C29" s="4"/>
    </row>
    <row r="30" spans="1:3" x14ac:dyDescent="0.3">
      <c r="A30" s="3" t="s">
        <v>356</v>
      </c>
      <c r="B30" s="4"/>
      <c r="C30" s="4"/>
    </row>
    <row r="31" spans="1:3" x14ac:dyDescent="0.3">
      <c r="A31" s="3" t="s">
        <v>357</v>
      </c>
      <c r="B31" s="4"/>
      <c r="C31" s="4"/>
    </row>
    <row r="32" spans="1:3" x14ac:dyDescent="0.3">
      <c r="A32" s="3" t="s">
        <v>358</v>
      </c>
      <c r="B32" s="7">
        <f>SUM(B29:B31)</f>
        <v>0</v>
      </c>
      <c r="C32" s="7">
        <f>SUM(C29:C31)</f>
        <v>0</v>
      </c>
    </row>
    <row r="34" spans="1:3" x14ac:dyDescent="0.3">
      <c r="A34" s="102" t="s">
        <v>359</v>
      </c>
      <c r="B34" s="102"/>
      <c r="C34" s="102"/>
    </row>
    <row r="35" spans="1:3" x14ac:dyDescent="0.3">
      <c r="A35" s="2" t="s">
        <v>360</v>
      </c>
      <c r="B35" s="2" t="s">
        <v>361</v>
      </c>
      <c r="C35" s="2" t="s">
        <v>90</v>
      </c>
    </row>
    <row r="36" spans="1:3" x14ac:dyDescent="0.3">
      <c r="A36" s="3" t="s">
        <v>362</v>
      </c>
      <c r="B36" s="4"/>
    </row>
    <row r="37" spans="1:3" x14ac:dyDescent="0.3">
      <c r="A37" s="3" t="s">
        <v>363</v>
      </c>
      <c r="B37" s="4"/>
    </row>
    <row r="38" spans="1:3" x14ac:dyDescent="0.3">
      <c r="A38" s="3" t="s">
        <v>364</v>
      </c>
      <c r="B38" s="4"/>
    </row>
    <row r="39" spans="1:3" x14ac:dyDescent="0.3">
      <c r="A39" s="3" t="s">
        <v>365</v>
      </c>
      <c r="B39" s="7">
        <f>SUM(B36:B38)</f>
        <v>0</v>
      </c>
    </row>
    <row r="41" spans="1:3" x14ac:dyDescent="0.3">
      <c r="A41" s="102" t="s">
        <v>366</v>
      </c>
      <c r="B41" s="102"/>
      <c r="C41" s="102"/>
    </row>
    <row r="42" spans="1:3" x14ac:dyDescent="0.3">
      <c r="A42" s="2" t="s">
        <v>367</v>
      </c>
      <c r="B42" s="2" t="s">
        <v>368</v>
      </c>
      <c r="C42" s="2" t="s">
        <v>369</v>
      </c>
    </row>
    <row r="43" spans="1:3" x14ac:dyDescent="0.3">
      <c r="A43" s="3" t="s">
        <v>370</v>
      </c>
      <c r="B43" s="4"/>
      <c r="C43" s="4"/>
    </row>
    <row r="44" spans="1:3" x14ac:dyDescent="0.3">
      <c r="A44" s="3" t="s">
        <v>371</v>
      </c>
      <c r="B44" s="4"/>
      <c r="C44" s="4"/>
    </row>
    <row r="45" spans="1:3" x14ac:dyDescent="0.3">
      <c r="A45" s="3" t="s">
        <v>372</v>
      </c>
      <c r="B45" s="4"/>
      <c r="C45" s="4"/>
    </row>
    <row r="46" spans="1:3" x14ac:dyDescent="0.3">
      <c r="A46" s="3" t="s">
        <v>373</v>
      </c>
      <c r="B46" s="4"/>
      <c r="C46" s="4"/>
    </row>
    <row r="47" spans="1:3" x14ac:dyDescent="0.3">
      <c r="A47" s="3" t="s">
        <v>374</v>
      </c>
      <c r="B47" s="4"/>
      <c r="C47" s="4"/>
    </row>
  </sheetData>
  <mergeCells count="7">
    <mergeCell ref="A41:C41"/>
    <mergeCell ref="A1:C1"/>
    <mergeCell ref="A3:C3"/>
    <mergeCell ref="A11:C11"/>
    <mergeCell ref="A19:C19"/>
    <mergeCell ref="A27:C27"/>
    <mergeCell ref="A34:C3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FBDC-151F-4B2D-9209-8BA70CD5AD29}">
  <dimension ref="A1:M37"/>
  <sheetViews>
    <sheetView tabSelected="1" workbookViewId="0"/>
  </sheetViews>
  <sheetFormatPr defaultRowHeight="14.4" x14ac:dyDescent="0.3"/>
  <cols>
    <col min="1" max="1" width="28.88671875" bestFit="1" customWidth="1"/>
    <col min="2" max="11" width="28.44140625" bestFit="1" customWidth="1"/>
    <col min="12" max="12" width="39.33203125" bestFit="1" customWidth="1"/>
  </cols>
  <sheetData>
    <row r="1" spans="1:12" x14ac:dyDescent="0.3">
      <c r="A1" s="31" t="s">
        <v>375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x14ac:dyDescent="0.3">
      <c r="A3" s="42" t="s">
        <v>220</v>
      </c>
      <c r="B3" s="42" t="s">
        <v>74</v>
      </c>
      <c r="C3" s="42" t="s">
        <v>75</v>
      </c>
      <c r="D3" s="42" t="s">
        <v>76</v>
      </c>
      <c r="E3" s="42" t="s">
        <v>77</v>
      </c>
      <c r="F3" s="42" t="s">
        <v>78</v>
      </c>
      <c r="G3" s="42" t="s">
        <v>79</v>
      </c>
      <c r="H3" s="42" t="s">
        <v>80</v>
      </c>
      <c r="I3" s="42" t="s">
        <v>81</v>
      </c>
      <c r="J3" s="42" t="s">
        <v>97</v>
      </c>
      <c r="K3" s="42" t="s">
        <v>14</v>
      </c>
      <c r="L3" s="42" t="s">
        <v>376</v>
      </c>
    </row>
    <row r="4" spans="1:12" x14ac:dyDescent="0.3">
      <c r="A4" s="50" t="s">
        <v>377</v>
      </c>
      <c r="B4" s="52" t="str">
        <f>IF(FX_Rate_Entity1="","",N(Fin_Inputs_Entity1!F5)*FX_Rate_Entity1*IF(Entity_Ownership!C4="",1,Entity_Ownership!C4))</f>
        <v/>
      </c>
      <c r="C4" s="52" t="str">
        <f>IF(FX_Rate_Entity2="","",N(Fin_Inputs_Entity2!F5)*FX_Rate_Entity2*IF(Entity_Ownership!C5="",1,Entity_Ownership!C5))</f>
        <v/>
      </c>
      <c r="D4" s="52" t="str">
        <f>IF(FX_Rate_Entity3="","",N(Fin_Inputs_Entity3!F5)*FX_Rate_Entity3*IF(Entity_Ownership!C6="",1,Entity_Ownership!C6))</f>
        <v/>
      </c>
      <c r="E4" s="52" t="str">
        <f>IF(FX_Rate_Entity4="","",N(Fin_Inputs_Entity4!F5)*FX_Rate_Entity4*IF(Entity_Ownership!C7="",1,Entity_Ownership!C7))</f>
        <v/>
      </c>
      <c r="F4" s="52" t="str">
        <f>IF(FX_Rate_Entity5="","",N(Fin_Inputs_Entity5!F5)*FX_Rate_Entity5*IF(Entity_Ownership!C8="",1,Entity_Ownership!C8))</f>
        <v/>
      </c>
      <c r="G4" s="52" t="str">
        <f>IF(FX_Rate_Entity6="","",N(Fin_Inputs_Entity6!F5)*FX_Rate_Entity6*IF(Entity_Ownership!C9="",1,Entity_Ownership!C9))</f>
        <v/>
      </c>
      <c r="H4" s="52" t="str">
        <f>IF(FX_Rate_Entity7="","",N(Fin_Inputs_Entity7!F5)*FX_Rate_Entity7*IF(Entity_Ownership!C10="",1,Entity_Ownership!C10))</f>
        <v/>
      </c>
      <c r="I4" s="52" t="str">
        <f>IF(FX_Rate_Entity8="","",N(Fin_Inputs_Entity8!F5)*FX_Rate_Entity8*IF(Entity_Ownership!C11="",1,Entity_Ownership!C11))</f>
        <v/>
      </c>
      <c r="J4" s="52" t="str">
        <f>IF(FX_Rate_Entity9="","",N(Fin_Inputs_Entity9!F5)*FX_Rate_Entity9*IF(Entity_Ownership!C12="",1,Entity_Ownership!C12))</f>
        <v/>
      </c>
      <c r="K4" s="52" t="str">
        <f>IF(FX_Rate_Entity10="","",N(Fin_Inputs_Entity10!F5)*FX_Rate_Entity10*IF(Entity_Ownership!C13="",1,Entity_Ownership!C13))</f>
        <v/>
      </c>
      <c r="L4" s="52">
        <f t="shared" ref="L4:L9" si="0">SUM(B4:K4)</f>
        <v>0</v>
      </c>
    </row>
    <row r="5" spans="1:12" x14ac:dyDescent="0.3">
      <c r="A5" s="50" t="s">
        <v>378</v>
      </c>
      <c r="B5" s="52" t="str">
        <f>IF(FX_Rate_Entity1="","",N(Fin_Inputs_Entity1!F9)*FX_Rate_Entity1*IF(Entity_Ownership!C4="",1,Entity_Ownership!C4))</f>
        <v/>
      </c>
      <c r="C5" s="52" t="str">
        <f>IF(FX_Rate_Entity2="","",N(Fin_Inputs_Entity2!F9)*FX_Rate_Entity2*IF(Entity_Ownership!C5="",1,Entity_Ownership!C5))</f>
        <v/>
      </c>
      <c r="D5" s="52" t="str">
        <f>IF(FX_Rate_Entity3="","",N(Fin_Inputs_Entity3!F9)*FX_Rate_Entity3*IF(Entity_Ownership!C6="",1,Entity_Ownership!C6))</f>
        <v/>
      </c>
      <c r="E5" s="52" t="str">
        <f>IF(FX_Rate_Entity4="","",N(Fin_Inputs_Entity4!F9)*FX_Rate_Entity4*IF(Entity_Ownership!C7="",1,Entity_Ownership!C7))</f>
        <v/>
      </c>
      <c r="F5" s="52" t="str">
        <f>IF(FX_Rate_Entity5="","",N(Fin_Inputs_Entity5!F9)*FX_Rate_Entity5*IF(Entity_Ownership!C8="",1,Entity_Ownership!C8))</f>
        <v/>
      </c>
      <c r="G5" s="52" t="str">
        <f>IF(FX_Rate_Entity6="","",N(Fin_Inputs_Entity6!F9)*FX_Rate_Entity6*IF(Entity_Ownership!C9="",1,Entity_Ownership!C9))</f>
        <v/>
      </c>
      <c r="H5" s="52" t="str">
        <f>IF(FX_Rate_Entity7="","",N(Fin_Inputs_Entity7!F9)*FX_Rate_Entity7*IF(Entity_Ownership!C10="",1,Entity_Ownership!C10))</f>
        <v/>
      </c>
      <c r="I5" s="52" t="str">
        <f>IF(FX_Rate_Entity8="","",N(Fin_Inputs_Entity8!F9)*FX_Rate_Entity8*IF(Entity_Ownership!C11="",1,Entity_Ownership!C11))</f>
        <v/>
      </c>
      <c r="J5" s="52" t="str">
        <f>IF(FX_Rate_Entity9="","",N(Fin_Inputs_Entity9!F9)*FX_Rate_Entity9*IF(Entity_Ownership!C12="",1,Entity_Ownership!C12))</f>
        <v/>
      </c>
      <c r="K5" s="52" t="str">
        <f>IF(FX_Rate_Entity10="","",N(Fin_Inputs_Entity10!F9)*FX_Rate_Entity10*IF(Entity_Ownership!C13="",1,Entity_Ownership!C13))</f>
        <v/>
      </c>
      <c r="L5" s="52">
        <f t="shared" si="0"/>
        <v>0</v>
      </c>
    </row>
    <row r="6" spans="1:12" x14ac:dyDescent="0.3">
      <c r="A6" s="50" t="s">
        <v>379</v>
      </c>
      <c r="B6" s="52" t="str">
        <f>IF(FX_Rate_Entity1="","",N(Fin_Inputs_Entity1!F37)*FX_Rate_Entity1*IF(Entity_Ownership!C4="",1,Entity_Ownership!C4))</f>
        <v/>
      </c>
      <c r="C6" s="52" t="str">
        <f>IF(FX_Rate_Entity2="","",N(Fin_Inputs_Entity2!F37)*FX_Rate_Entity2*IF(Entity_Ownership!C5="",1,Entity_Ownership!C5))</f>
        <v/>
      </c>
      <c r="D6" s="52" t="str">
        <f>IF(FX_Rate_Entity3="","",N(Fin_Inputs_Entity3!F37)*FX_Rate_Entity3*IF(Entity_Ownership!C6="",1,Entity_Ownership!C6))</f>
        <v/>
      </c>
      <c r="E6" s="52" t="str">
        <f>IF(FX_Rate_Entity4="","",N(Fin_Inputs_Entity4!F37)*FX_Rate_Entity4*IF(Entity_Ownership!C7="",1,Entity_Ownership!C7))</f>
        <v/>
      </c>
      <c r="F6" s="52" t="str">
        <f>IF(FX_Rate_Entity5="","",N(Fin_Inputs_Entity5!F37)*FX_Rate_Entity5*IF(Entity_Ownership!C8="",1,Entity_Ownership!C8))</f>
        <v/>
      </c>
      <c r="G6" s="52" t="str">
        <f>IF(FX_Rate_Entity6="","",N(Fin_Inputs_Entity6!F37)*FX_Rate_Entity6*IF(Entity_Ownership!C9="",1,Entity_Ownership!C9))</f>
        <v/>
      </c>
      <c r="H6" s="52" t="str">
        <f>IF(FX_Rate_Entity7="","",N(Fin_Inputs_Entity7!F37)*FX_Rate_Entity7*IF(Entity_Ownership!C10="",1,Entity_Ownership!C10))</f>
        <v/>
      </c>
      <c r="I6" s="52" t="str">
        <f>IF(FX_Rate_Entity8="","",N(Fin_Inputs_Entity8!F37)*FX_Rate_Entity8*IF(Entity_Ownership!C11="",1,Entity_Ownership!C11))</f>
        <v/>
      </c>
      <c r="J6" s="52" t="str">
        <f>IF(FX_Rate_Entity9="","",N(Fin_Inputs_Entity9!F37)*FX_Rate_Entity9*IF(Entity_Ownership!C12="",1,Entity_Ownership!C12))</f>
        <v/>
      </c>
      <c r="K6" s="52" t="str">
        <f>IF(FX_Rate_Entity10="","",N(Fin_Inputs_Entity10!F37)*FX_Rate_Entity10*IF(Entity_Ownership!C13="",1,Entity_Ownership!C13))</f>
        <v/>
      </c>
      <c r="L6" s="52">
        <f t="shared" si="0"/>
        <v>0</v>
      </c>
    </row>
    <row r="7" spans="1:12" x14ac:dyDescent="0.3">
      <c r="A7" s="50" t="s">
        <v>380</v>
      </c>
      <c r="B7" s="52" t="str">
        <f>IF(FX_Rate_Entity1="","",(N(Fin_Inputs_Entity1!F26)+N(Fin_Inputs_Entity1!F27))*FX_Rate_Entity1*IF(Entity_Ownership!C4="",1,Entity_Ownership!C4))</f>
        <v/>
      </c>
      <c r="C7" s="52" t="str">
        <f>IF(FX_Rate_Entity2="","",(N(Fin_Inputs_Entity2!F26)+N(Fin_Inputs_Entity2!F27))*FX_Rate_Entity2*IF(Entity_Ownership!C5="",1,Entity_Ownership!C5))</f>
        <v/>
      </c>
      <c r="D7" s="52" t="str">
        <f>IF(FX_Rate_Entity3="","",(N(Fin_Inputs_Entity3!F26)+N(Fin_Inputs_Entity3!F27))*FX_Rate_Entity3*IF(Entity_Ownership!C6="",1,Entity_Ownership!C6))</f>
        <v/>
      </c>
      <c r="E7" s="52" t="str">
        <f>IF(FX_Rate_Entity4="","",(N(Fin_Inputs_Entity4!F26)+N(Fin_Inputs_Entity4!F27))*FX_Rate_Entity4*IF(Entity_Ownership!C7="",1,Entity_Ownership!C7))</f>
        <v/>
      </c>
      <c r="F7" s="52" t="str">
        <f>IF(FX_Rate_Entity5="","",(N(Fin_Inputs_Entity5!F26)+N(Fin_Inputs_Entity5!F27))*FX_Rate_Entity5*IF(Entity_Ownership!C8="",1,Entity_Ownership!C8))</f>
        <v/>
      </c>
      <c r="G7" s="52" t="str">
        <f>IF(FX_Rate_Entity6="","",(N(Fin_Inputs_Entity6!F26)+N(Fin_Inputs_Entity6!F27))*FX_Rate_Entity6*IF(Entity_Ownership!C9="",1,Entity_Ownership!C9))</f>
        <v/>
      </c>
      <c r="H7" s="52" t="str">
        <f>IF(FX_Rate_Entity7="","",(N(Fin_Inputs_Entity7!F26)+N(Fin_Inputs_Entity7!F27))*FX_Rate_Entity7*IF(Entity_Ownership!C10="",1,Entity_Ownership!C10))</f>
        <v/>
      </c>
      <c r="I7" s="52" t="str">
        <f>IF(FX_Rate_Entity8="","",(N(Fin_Inputs_Entity8!F26)+N(Fin_Inputs_Entity8!F27))*FX_Rate_Entity8*IF(Entity_Ownership!C11="",1,Entity_Ownership!C11))</f>
        <v/>
      </c>
      <c r="J7" s="52" t="str">
        <f>IF(FX_Rate_Entity9="","",(N(Fin_Inputs_Entity9!F26)+N(Fin_Inputs_Entity9!F27))*FX_Rate_Entity9*IF(Entity_Ownership!C12="",1,Entity_Ownership!C12))</f>
        <v/>
      </c>
      <c r="K7" s="52" t="str">
        <f>IF(FX_Rate_Entity10="","",(N(Fin_Inputs_Entity10!F26)+N(Fin_Inputs_Entity10!F27))*FX_Rate_Entity10*IF(Entity_Ownership!C13="",1,Entity_Ownership!C13))</f>
        <v/>
      </c>
      <c r="L7" s="52">
        <f t="shared" si="0"/>
        <v>0</v>
      </c>
    </row>
    <row r="8" spans="1:12" x14ac:dyDescent="0.3">
      <c r="A8" s="50" t="s">
        <v>381</v>
      </c>
      <c r="B8" s="52" t="str">
        <f>IF(FX_Rate_Entity1="","",(N(Fin_Inputs_Entity1!F21)-N(Fin_Inputs_Entity1!F24)-N(Fin_Inputs_Entity1!F25))*FX_Rate_Entity1*IF(Entity_Ownership!C4="",1,Entity_Ownership!C4))</f>
        <v/>
      </c>
      <c r="C8" s="52" t="str">
        <f>IF(FX_Rate_Entity2="","",(N(Fin_Inputs_Entity2!F21)-N(Fin_Inputs_Entity2!F24)-N(Fin_Inputs_Entity2!F25))*FX_Rate_Entity2*IF(Entity_Ownership!C5="",1,Entity_Ownership!C5))</f>
        <v/>
      </c>
      <c r="D8" s="52" t="str">
        <f>IF(FX_Rate_Entity3="","",(N(Fin_Inputs_Entity3!F21)-N(Fin_Inputs_Entity3!F24)-N(Fin_Inputs_Entity3!F25))*FX_Rate_Entity3*IF(Entity_Ownership!C6="",1,Entity_Ownership!C6))</f>
        <v/>
      </c>
      <c r="E8" s="52" t="str">
        <f>IF(FX_Rate_Entity4="","",(N(Fin_Inputs_Entity4!F21)-N(Fin_Inputs_Entity4!F24)-N(Fin_Inputs_Entity4!F25))*FX_Rate_Entity4*IF(Entity_Ownership!C7="",1,Entity_Ownership!C7))</f>
        <v/>
      </c>
      <c r="F8" s="52" t="str">
        <f>IF(FX_Rate_Entity5="","",(N(Fin_Inputs_Entity5!F21)-N(Fin_Inputs_Entity5!F24)-N(Fin_Inputs_Entity5!F25))*FX_Rate_Entity5*IF(Entity_Ownership!C8="",1,Entity_Ownership!C8))</f>
        <v/>
      </c>
      <c r="G8" s="52" t="str">
        <f>IF(FX_Rate_Entity6="","",(N(Fin_Inputs_Entity6!F21)-N(Fin_Inputs_Entity6!F24)-N(Fin_Inputs_Entity6!F25))*FX_Rate_Entity6*IF(Entity_Ownership!C9="",1,Entity_Ownership!C9))</f>
        <v/>
      </c>
      <c r="H8" s="52" t="str">
        <f>IF(FX_Rate_Entity7="","",(N(Fin_Inputs_Entity7!F21)-N(Fin_Inputs_Entity7!F24)-N(Fin_Inputs_Entity7!F25))*FX_Rate_Entity7*IF(Entity_Ownership!C10="",1,Entity_Ownership!C10))</f>
        <v/>
      </c>
      <c r="I8" s="52" t="str">
        <f>IF(FX_Rate_Entity8="","",(N(Fin_Inputs_Entity8!F21)-N(Fin_Inputs_Entity8!F24)-N(Fin_Inputs_Entity8!F25))*FX_Rate_Entity8*IF(Entity_Ownership!C11="",1,Entity_Ownership!C11))</f>
        <v/>
      </c>
      <c r="J8" s="52" t="str">
        <f>IF(FX_Rate_Entity9="","",(N(Fin_Inputs_Entity9!F21)-N(Fin_Inputs_Entity9!F24)-N(Fin_Inputs_Entity9!F25))*FX_Rate_Entity9*IF(Entity_Ownership!C12="",1,Entity_Ownership!C12))</f>
        <v/>
      </c>
      <c r="K8" s="52" t="str">
        <f>IF(FX_Rate_Entity10="","",(N(Fin_Inputs_Entity10!F21)-N(Fin_Inputs_Entity10!F24)-N(Fin_Inputs_Entity10!F25))*FX_Rate_Entity10*IF(Entity_Ownership!C13="",1,Entity_Ownership!C13))</f>
        <v/>
      </c>
      <c r="L8" s="52">
        <f t="shared" si="0"/>
        <v>0</v>
      </c>
    </row>
    <row r="9" spans="1:12" x14ac:dyDescent="0.3">
      <c r="A9" s="50" t="s">
        <v>382</v>
      </c>
      <c r="B9" s="52" t="str">
        <f>Valuation_Entity1!B37</f>
        <v/>
      </c>
      <c r="C9" s="52" t="str">
        <f>Valuation_Entity2!B37</f>
        <v/>
      </c>
      <c r="D9" s="52" t="str">
        <f>Valuation_Entity3!B37</f>
        <v/>
      </c>
      <c r="E9" s="52" t="str">
        <f>Valuation_Entity4!B37</f>
        <v/>
      </c>
      <c r="F9" s="52" t="str">
        <f>Valuation_Entity5!B37</f>
        <v/>
      </c>
      <c r="G9" s="52" t="str">
        <f>Valuation_Entity6!B37</f>
        <v/>
      </c>
      <c r="H9" s="52" t="str">
        <f>Valuation_Entity7!B37</f>
        <v/>
      </c>
      <c r="I9" s="52" t="str">
        <f>Valuation_Entity8!B37</f>
        <v/>
      </c>
      <c r="J9" s="52" t="str">
        <f>Valuation_Entity9!B37</f>
        <v/>
      </c>
      <c r="K9" s="52" t="str">
        <f>Valuation_Entity10!B37</f>
        <v/>
      </c>
      <c r="L9" s="52">
        <f t="shared" si="0"/>
        <v>0</v>
      </c>
    </row>
    <row r="10" spans="1:12" x14ac:dyDescent="0.3">
      <c r="A10" s="50" t="s">
        <v>383</v>
      </c>
      <c r="B10" s="52" t="str">
        <f>Loan_Readiness!D11</f>
        <v/>
      </c>
      <c r="C10" s="52" t="str">
        <f>Loan_Readiness!D12</f>
        <v/>
      </c>
      <c r="D10" s="52" t="str">
        <f>Loan_Readiness!D13</f>
        <v/>
      </c>
      <c r="E10" s="52" t="str">
        <f>Loan_Readiness!D14</f>
        <v/>
      </c>
      <c r="F10" s="52" t="str">
        <f>Loan_Readiness!D15</f>
        <v/>
      </c>
      <c r="G10" s="52" t="str">
        <f>Loan_Readiness!D16</f>
        <v/>
      </c>
      <c r="H10" s="52" t="str">
        <f>Loan_Readiness!D17</f>
        <v/>
      </c>
      <c r="I10" s="52" t="str">
        <f>Loan_Readiness!D18</f>
        <v/>
      </c>
      <c r="J10" s="52" t="str">
        <f>Loan_Readiness!D19</f>
        <v/>
      </c>
      <c r="K10" s="52" t="str">
        <f>Loan_Readiness!D20</f>
        <v/>
      </c>
      <c r="L10" s="57" t="str">
        <f>IF(COUNT(B10:K10)=0,"",AVERAGE(B10:K10))</f>
        <v/>
      </c>
    </row>
    <row r="11" spans="1:12" x14ac:dyDescent="0.3">
      <c r="A11" s="50" t="s">
        <v>384</v>
      </c>
      <c r="B11" s="50" t="str">
        <f>IF(COUNT(Fin_Inputs_Entity1!B5:F37)=0,"WARNING: Missing Financial Data",IF(OR(FX_Conversion!B4="",Entity_Ownership!F4="",Entity_Ownership!G4=""),"WARNING: Missing Setup Data",""))</f>
        <v>WARNING: Missing Financial Data</v>
      </c>
      <c r="C11" s="50" t="str">
        <f>IF(COUNT(Fin_Inputs_Entity2!B5:F37)=0,"WARNING: Missing Financial Data",IF(OR(FX_Conversion!B5="",Entity_Ownership!F5="",Entity_Ownership!G5=""),"WARNING: Missing Setup Data",""))</f>
        <v>WARNING: Missing Financial Data</v>
      </c>
      <c r="D11" s="50" t="str">
        <f>IF(COUNT(Fin_Inputs_Entity3!B5:F37)=0,"WARNING: Missing Financial Data",IF(OR(FX_Conversion!B6="",Entity_Ownership!F6="",Entity_Ownership!G6=""),"WARNING: Missing Setup Data",""))</f>
        <v>WARNING: Missing Financial Data</v>
      </c>
      <c r="E11" s="50" t="str">
        <f>IF(COUNT(Fin_Inputs_Entity4!B5:F37)=0,"WARNING: Missing Financial Data",IF(OR(FX_Conversion!B7="",Entity_Ownership!F7="",Entity_Ownership!G7=""),"WARNING: Missing Setup Data",""))</f>
        <v>WARNING: Missing Financial Data</v>
      </c>
      <c r="F11" s="50" t="str">
        <f>IF(COUNT(Fin_Inputs_Entity5!B5:F37)=0,"WARNING: Missing Financial Data",IF(OR(FX_Conversion!B8="",Entity_Ownership!F8="",Entity_Ownership!G8=""),"WARNING: Missing Setup Data",""))</f>
        <v>WARNING: Missing Financial Data</v>
      </c>
      <c r="G11" s="50" t="str">
        <f>IF(COUNT(Fin_Inputs_Entity6!B5:F37)=0,"WARNING: Missing Financial Data",IF(OR(FX_Conversion!B9="",Entity_Ownership!F9="",Entity_Ownership!G9=""),"WARNING: Missing Setup Data",""))</f>
        <v>WARNING: Missing Financial Data</v>
      </c>
      <c r="H11" s="50" t="str">
        <f>IF(COUNT(Fin_Inputs_Entity7!B5:F37)=0,"WARNING: Missing Financial Data",IF(OR(FX_Conversion!B10="",Entity_Ownership!F10="",Entity_Ownership!G10=""),"WARNING: Missing Setup Data",""))</f>
        <v>WARNING: Missing Financial Data</v>
      </c>
      <c r="I11" s="50" t="str">
        <f>IF(COUNT(Fin_Inputs_Entity8!B5:F37)=0,"WARNING: Missing Financial Data",IF(OR(FX_Conversion!B11="",Entity_Ownership!F11="",Entity_Ownership!G11=""),"WARNING: Missing Setup Data",""))</f>
        <v>WARNING: Missing Financial Data</v>
      </c>
      <c r="J11" s="50" t="str">
        <f>IF(COUNT(Fin_Inputs_Entity9!B5:F37)=0,"WARNING: Missing Financial Data",IF(OR(FX_Conversion!B12="",Entity_Ownership!F12="",Entity_Ownership!G12=""),"WARNING: Missing Setup Data",""))</f>
        <v>WARNING: Missing Financial Data</v>
      </c>
      <c r="K11" s="50" t="str">
        <f>IF(COUNT(Fin_Inputs_Entity10!B5:F37)=0,"WARNING: Missing Financial Data",IF(OR(FX_Conversion!B13="",Entity_Ownership!F13="",Entity_Ownership!G13=""),"WARNING: Missing Setup Data",""))</f>
        <v>WARNING: Missing Financial Data</v>
      </c>
      <c r="L11" s="50" t="str">
        <f>IF(COUNTIF(B11:K11,"WARNING*")&gt;0,"WARNING: Missing Data in One or More Entities","")</f>
        <v>WARNING: Missing Data in One or More Entities</v>
      </c>
    </row>
    <row r="12" spans="1:12" x14ac:dyDescent="0.3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</row>
    <row r="13" spans="1:12" x14ac:dyDescent="0.3">
      <c r="A13" s="48" t="s">
        <v>385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</row>
    <row r="14" spans="1:12" x14ac:dyDescent="0.3">
      <c r="A14" s="50" t="s">
        <v>386</v>
      </c>
      <c r="B14" s="48" t="s">
        <v>74</v>
      </c>
      <c r="C14" s="48" t="s">
        <v>75</v>
      </c>
      <c r="D14" s="48" t="s">
        <v>76</v>
      </c>
      <c r="E14" s="48" t="s">
        <v>77</v>
      </c>
      <c r="F14" s="48" t="s">
        <v>78</v>
      </c>
      <c r="G14" s="48" t="s">
        <v>79</v>
      </c>
      <c r="H14" s="48" t="s">
        <v>80</v>
      </c>
      <c r="I14" s="48" t="s">
        <v>81</v>
      </c>
      <c r="J14" s="48" t="s">
        <v>97</v>
      </c>
      <c r="K14" s="48" t="s">
        <v>14</v>
      </c>
      <c r="L14" s="48" t="s">
        <v>387</v>
      </c>
    </row>
    <row r="15" spans="1:12" x14ac:dyDescent="0.3">
      <c r="A15" s="50" t="s">
        <v>388</v>
      </c>
      <c r="B15" s="48" t="str">
        <f>IF(Valuation_Entity1!B18="","",Valuation_Entity1!B18*IF(Entity_Ownership!C4="",1,Entity_Ownership!C4))</f>
        <v/>
      </c>
      <c r="C15" s="48" t="str">
        <f>IF(Valuation_Entity2!B18="","",Valuation_Entity2!B18*IF(Entity_Ownership!C5="",1,Entity_Ownership!C5))</f>
        <v/>
      </c>
      <c r="D15" s="48" t="str">
        <f>IF(Valuation_Entity3!B18="","",Valuation_Entity3!B18*IF(Entity_Ownership!C6="",1,Entity_Ownership!C6))</f>
        <v/>
      </c>
      <c r="E15" s="48" t="str">
        <f>IF(Valuation_Entity4!B18="","",Valuation_Entity4!B18*IF(Entity_Ownership!C7="",1,Entity_Ownership!C7))</f>
        <v/>
      </c>
      <c r="F15" s="48" t="str">
        <f>IF(Valuation_Entity5!B18="","",Valuation_Entity5!B18*IF(Entity_Ownership!C8="",1,Entity_Ownership!C8))</f>
        <v/>
      </c>
      <c r="G15" s="48" t="str">
        <f>IF(Valuation_Entity6!B18="","",Valuation_Entity6!B18*IF(Entity_Ownership!C9="",1,Entity_Ownership!C9))</f>
        <v/>
      </c>
      <c r="H15" s="48" t="str">
        <f>IF(Valuation_Entity7!B18="","",Valuation_Entity7!B18*IF(Entity_Ownership!C10="",1,Entity_Ownership!C10))</f>
        <v/>
      </c>
      <c r="I15" s="48" t="str">
        <f>IF(Valuation_Entity8!B18="","",Valuation_Entity8!B18*IF(Entity_Ownership!C11="",1,Entity_Ownership!C11))</f>
        <v/>
      </c>
      <c r="J15" s="48" t="str">
        <f>IF(Valuation_Entity9!B18="","",Valuation_Entity9!B18*IF(Entity_Ownership!C12="",1,Entity_Ownership!C12))</f>
        <v/>
      </c>
      <c r="K15" s="48" t="str">
        <f>IF(Valuation_Entity10!B18="","",Valuation_Entity10!B18*IF(Entity_Ownership!C13="",1,Entity_Ownership!C13))</f>
        <v/>
      </c>
      <c r="L15" s="48">
        <f>SUM(B15:K15)</f>
        <v>0</v>
      </c>
    </row>
    <row r="16" spans="1:12" x14ac:dyDescent="0.3">
      <c r="A16" s="50" t="s">
        <v>389</v>
      </c>
      <c r="B16" s="48" t="str">
        <f>IF(Valuation_Entity1!C18="","",Valuation_Entity1!C18*IF(Entity_Ownership!C4="",1,Entity_Ownership!C4))</f>
        <v/>
      </c>
      <c r="C16" s="48" t="str">
        <f>IF(Valuation_Entity2!C18="","",Valuation_Entity2!C18*IF(Entity_Ownership!C5="",1,Entity_Ownership!C5))</f>
        <v/>
      </c>
      <c r="D16" s="48" t="str">
        <f>IF(Valuation_Entity3!C18="","",Valuation_Entity3!C18*IF(Entity_Ownership!C6="",1,Entity_Ownership!C6))</f>
        <v/>
      </c>
      <c r="E16" s="48" t="str">
        <f>IF(Valuation_Entity4!C18="","",Valuation_Entity4!C18*IF(Entity_Ownership!C7="",1,Entity_Ownership!C7))</f>
        <v/>
      </c>
      <c r="F16" s="48" t="str">
        <f>IF(Valuation_Entity5!C18="","",Valuation_Entity5!C18*IF(Entity_Ownership!C8="",1,Entity_Ownership!C8))</f>
        <v/>
      </c>
      <c r="G16" s="48" t="str">
        <f>IF(Valuation_Entity6!C18="","",Valuation_Entity6!C18*IF(Entity_Ownership!C9="",1,Entity_Ownership!C9))</f>
        <v/>
      </c>
      <c r="H16" s="48" t="str">
        <f>IF(Valuation_Entity7!C18="","",Valuation_Entity7!C18*IF(Entity_Ownership!C10="",1,Entity_Ownership!C10))</f>
        <v/>
      </c>
      <c r="I16" s="48" t="str">
        <f>IF(Valuation_Entity8!C18="","",Valuation_Entity8!C18*IF(Entity_Ownership!C11="",1,Entity_Ownership!C11))</f>
        <v/>
      </c>
      <c r="J16" s="48" t="str">
        <f>IF(Valuation_Entity9!C18="","",Valuation_Entity9!C18*IF(Entity_Ownership!C12="",1,Entity_Ownership!C12))</f>
        <v/>
      </c>
      <c r="K16" s="48" t="str">
        <f>IF(Valuation_Entity10!C18="","",Valuation_Entity10!C18*IF(Entity_Ownership!C13="",1,Entity_Ownership!C13))</f>
        <v/>
      </c>
      <c r="L16" s="48">
        <f>SUM(B16:K16)</f>
        <v>0</v>
      </c>
    </row>
    <row r="17" spans="1:12" x14ac:dyDescent="0.3">
      <c r="A17" s="50" t="s">
        <v>390</v>
      </c>
      <c r="B17" s="48" t="str">
        <f>IF(Valuation_Entity1!D18="","",Valuation_Entity1!D18*IF(Entity_Ownership!C4="",1,Entity_Ownership!C4))</f>
        <v/>
      </c>
      <c r="C17" s="48" t="str">
        <f>IF(Valuation_Entity2!D18="","",Valuation_Entity2!D18*IF(Entity_Ownership!C5="",1,Entity_Ownership!C5))</f>
        <v/>
      </c>
      <c r="D17" s="48" t="str">
        <f>IF(Valuation_Entity3!D18="","",Valuation_Entity3!D18*IF(Entity_Ownership!C6="",1,Entity_Ownership!C6))</f>
        <v/>
      </c>
      <c r="E17" s="48" t="str">
        <f>IF(Valuation_Entity4!D18="","",Valuation_Entity4!D18*IF(Entity_Ownership!C7="",1,Entity_Ownership!C7))</f>
        <v/>
      </c>
      <c r="F17" s="48" t="str">
        <f>IF(Valuation_Entity5!D18="","",Valuation_Entity5!D18*IF(Entity_Ownership!C8="",1,Entity_Ownership!C8))</f>
        <v/>
      </c>
      <c r="G17" s="48" t="str">
        <f>IF(Valuation_Entity6!D18="","",Valuation_Entity6!D18*IF(Entity_Ownership!C9="",1,Entity_Ownership!C9))</f>
        <v/>
      </c>
      <c r="H17" s="48" t="str">
        <f>IF(Valuation_Entity7!D18="","",Valuation_Entity7!D18*IF(Entity_Ownership!C10="",1,Entity_Ownership!C10))</f>
        <v/>
      </c>
      <c r="I17" s="48" t="str">
        <f>IF(Valuation_Entity8!D18="","",Valuation_Entity8!D18*IF(Entity_Ownership!C11="",1,Entity_Ownership!C11))</f>
        <v/>
      </c>
      <c r="J17" s="48" t="str">
        <f>IF(Valuation_Entity9!D18="","",Valuation_Entity9!D18*IF(Entity_Ownership!C12="",1,Entity_Ownership!C12))</f>
        <v/>
      </c>
      <c r="K17" s="48" t="str">
        <f>IF(Valuation_Entity10!D18="","",Valuation_Entity10!D18*IF(Entity_Ownership!C13="",1,Entity_Ownership!C13))</f>
        <v/>
      </c>
      <c r="L17" s="48">
        <f>SUM(B17:K17)</f>
        <v>0</v>
      </c>
    </row>
    <row r="18" spans="1:12" x14ac:dyDescent="0.3">
      <c r="A18" s="50" t="s">
        <v>391</v>
      </c>
      <c r="B18" s="48" t="str">
        <f>IF(Valuation_Entity1!E18="","",Valuation_Entity1!E18*IF(Entity_Ownership!C4="",1,Entity_Ownership!C4))</f>
        <v/>
      </c>
      <c r="C18" s="48" t="str">
        <f>IF(Valuation_Entity2!E18="","",Valuation_Entity2!E18*IF(Entity_Ownership!C5="",1,Entity_Ownership!C5))</f>
        <v/>
      </c>
      <c r="D18" s="48" t="str">
        <f>IF(Valuation_Entity3!E18="","",Valuation_Entity3!E18*IF(Entity_Ownership!C6="",1,Entity_Ownership!C6))</f>
        <v/>
      </c>
      <c r="E18" s="48" t="str">
        <f>IF(Valuation_Entity4!E18="","",Valuation_Entity4!E18*IF(Entity_Ownership!C7="",1,Entity_Ownership!C7))</f>
        <v/>
      </c>
      <c r="F18" s="48" t="str">
        <f>IF(Valuation_Entity5!E18="","",Valuation_Entity5!E18*IF(Entity_Ownership!C8="",1,Entity_Ownership!C8))</f>
        <v/>
      </c>
      <c r="G18" s="48" t="str">
        <f>IF(Valuation_Entity6!E18="","",Valuation_Entity6!E18*IF(Entity_Ownership!C9="",1,Entity_Ownership!C9))</f>
        <v/>
      </c>
      <c r="H18" s="48" t="str">
        <f>IF(Valuation_Entity7!E18="","",Valuation_Entity7!E18*IF(Entity_Ownership!C10="",1,Entity_Ownership!C10))</f>
        <v/>
      </c>
      <c r="I18" s="48" t="str">
        <f>IF(Valuation_Entity8!E18="","",Valuation_Entity8!E18*IF(Entity_Ownership!C11="",1,Entity_Ownership!C11))</f>
        <v/>
      </c>
      <c r="J18" s="48" t="str">
        <f>IF(Valuation_Entity9!E18="","",Valuation_Entity9!E18*IF(Entity_Ownership!C12="",1,Entity_Ownership!C12))</f>
        <v/>
      </c>
      <c r="K18" s="48" t="str">
        <f>IF(Valuation_Entity10!E18="","",Valuation_Entity10!E18*IF(Entity_Ownership!C13="",1,Entity_Ownership!C13))</f>
        <v/>
      </c>
      <c r="L18" s="48">
        <f>SUM(B18:K18)</f>
        <v>0</v>
      </c>
    </row>
    <row r="19" spans="1:12" x14ac:dyDescent="0.3">
      <c r="A19" s="50" t="s">
        <v>392</v>
      </c>
      <c r="B19" s="48" t="str">
        <f>IF(Valuation_Entity1!F18="","",Valuation_Entity1!F18*IF(Entity_Ownership!C4="",1,Entity_Ownership!C4))</f>
        <v/>
      </c>
      <c r="C19" s="48" t="str">
        <f>IF(Valuation_Entity2!F18="","",Valuation_Entity2!F18*IF(Entity_Ownership!C5="",1,Entity_Ownership!C5))</f>
        <v/>
      </c>
      <c r="D19" s="48" t="str">
        <f>IF(Valuation_Entity3!F18="","",Valuation_Entity3!F18*IF(Entity_Ownership!C6="",1,Entity_Ownership!C6))</f>
        <v/>
      </c>
      <c r="E19" s="48" t="str">
        <f>IF(Valuation_Entity4!F18="","",Valuation_Entity4!F18*IF(Entity_Ownership!C7="",1,Entity_Ownership!C7))</f>
        <v/>
      </c>
      <c r="F19" s="48" t="str">
        <f>IF(Valuation_Entity5!F18="","",Valuation_Entity5!F18*IF(Entity_Ownership!C8="",1,Entity_Ownership!C8))</f>
        <v/>
      </c>
      <c r="G19" s="48" t="str">
        <f>IF(Valuation_Entity6!F18="","",Valuation_Entity6!F18*IF(Entity_Ownership!C9="",1,Entity_Ownership!C9))</f>
        <v/>
      </c>
      <c r="H19" s="48" t="str">
        <f>IF(Valuation_Entity7!F18="","",Valuation_Entity7!F18*IF(Entity_Ownership!C10="",1,Entity_Ownership!C10))</f>
        <v/>
      </c>
      <c r="I19" s="48" t="str">
        <f>IF(Valuation_Entity8!F18="","",Valuation_Entity8!F18*IF(Entity_Ownership!C11="",1,Entity_Ownership!C11))</f>
        <v/>
      </c>
      <c r="J19" s="48" t="str">
        <f>IF(Valuation_Entity9!F18="","",Valuation_Entity9!F18*IF(Entity_Ownership!C12="",1,Entity_Ownership!C12))</f>
        <v/>
      </c>
      <c r="K19" s="48" t="str">
        <f>IF(Valuation_Entity10!F18="","",Valuation_Entity10!F18*IF(Entity_Ownership!C13="",1,Entity_Ownership!C13))</f>
        <v/>
      </c>
      <c r="L19" s="48">
        <f>SUM(B19:K19)</f>
        <v>0</v>
      </c>
    </row>
    <row r="20" spans="1:12" x14ac:dyDescent="0.3">
      <c r="A20" s="50" t="s">
        <v>393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</row>
    <row r="21" spans="1:12" x14ac:dyDescent="0.3">
      <c r="A21" s="58" t="s">
        <v>84</v>
      </c>
      <c r="B21" s="50" t="s">
        <v>91</v>
      </c>
      <c r="C21" s="50" t="s">
        <v>394</v>
      </c>
      <c r="D21" s="50"/>
      <c r="E21" s="50"/>
      <c r="F21" s="50"/>
      <c r="G21" s="50"/>
      <c r="H21" s="48"/>
      <c r="I21" s="48"/>
      <c r="J21" s="48"/>
      <c r="K21" s="48"/>
      <c r="L21" s="48"/>
    </row>
    <row r="22" spans="1:12" x14ac:dyDescent="0.3">
      <c r="A22" s="58" t="s">
        <v>74</v>
      </c>
      <c r="B22" s="59" t="str">
        <f>Valuation_Entity1!B37</f>
        <v/>
      </c>
      <c r="C22" s="59" t="str">
        <f t="shared" ref="C22:C31" si="1">IF(OR($L$9="",$L$9=0,B22=""),"",B22/$L$9)</f>
        <v/>
      </c>
      <c r="D22" s="59"/>
      <c r="E22" s="59"/>
      <c r="F22" s="59"/>
      <c r="G22" s="59"/>
      <c r="H22" s="48"/>
      <c r="I22" s="48"/>
      <c r="J22" s="48"/>
      <c r="K22" s="48"/>
      <c r="L22" s="48"/>
    </row>
    <row r="23" spans="1:12" x14ac:dyDescent="0.3">
      <c r="A23" s="50" t="s">
        <v>75</v>
      </c>
      <c r="B23" s="78" t="str">
        <f>Valuation_Entity2!B37</f>
        <v/>
      </c>
      <c r="C23" s="78" t="str">
        <f t="shared" si="1"/>
        <v/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x14ac:dyDescent="0.3">
      <c r="A24" s="93" t="s">
        <v>76</v>
      </c>
      <c r="B24" s="97" t="str">
        <f>Valuation_Entity3!B37</f>
        <v/>
      </c>
      <c r="C24" s="98" t="str">
        <f t="shared" si="1"/>
        <v/>
      </c>
      <c r="D24" s="94"/>
      <c r="E24" s="92"/>
      <c r="F24" s="48"/>
      <c r="G24" s="48"/>
      <c r="H24" s="48"/>
      <c r="I24" s="48"/>
      <c r="J24" s="48"/>
      <c r="K24" s="48"/>
      <c r="L24" s="48"/>
    </row>
    <row r="25" spans="1:12" x14ac:dyDescent="0.3">
      <c r="A25" s="60" t="s">
        <v>77</v>
      </c>
      <c r="B25" s="96" t="str">
        <f>Valuation_Entity4!B37</f>
        <v/>
      </c>
      <c r="C25" s="96" t="str">
        <f t="shared" si="1"/>
        <v/>
      </c>
      <c r="D25" s="60"/>
      <c r="E25" s="60"/>
      <c r="F25" s="48"/>
      <c r="G25" s="48"/>
      <c r="H25" s="48"/>
      <c r="I25" s="48"/>
      <c r="J25" s="48"/>
      <c r="K25" s="48"/>
      <c r="L25" s="48"/>
    </row>
    <row r="26" spans="1:12" x14ac:dyDescent="0.3">
      <c r="A26" s="58" t="s">
        <v>78</v>
      </c>
      <c r="B26" s="61" t="str">
        <f>Valuation_Entity5!B37</f>
        <v/>
      </c>
      <c r="C26" s="61" t="str">
        <f t="shared" si="1"/>
        <v/>
      </c>
      <c r="D26" s="61"/>
      <c r="E26" s="61"/>
      <c r="F26" s="48"/>
      <c r="G26" s="48"/>
      <c r="H26" s="48"/>
      <c r="I26" s="48"/>
      <c r="J26" s="48"/>
      <c r="K26" s="48"/>
      <c r="L26" s="48"/>
    </row>
    <row r="27" spans="1:12" x14ac:dyDescent="0.3">
      <c r="A27" s="58" t="s">
        <v>79</v>
      </c>
      <c r="B27" s="61" t="str">
        <f>Valuation_Entity6!B37</f>
        <v/>
      </c>
      <c r="C27" s="61" t="str">
        <f t="shared" si="1"/>
        <v/>
      </c>
      <c r="D27" s="61"/>
      <c r="E27" s="61"/>
      <c r="F27" s="48"/>
      <c r="G27" s="48"/>
      <c r="H27" s="48"/>
      <c r="I27" s="48"/>
      <c r="J27" s="48"/>
      <c r="K27" s="48"/>
      <c r="L27" s="48"/>
    </row>
    <row r="28" spans="1:12" x14ac:dyDescent="0.3">
      <c r="A28" s="58" t="s">
        <v>80</v>
      </c>
      <c r="B28" s="61" t="str">
        <f>Valuation_Entity7!B37</f>
        <v/>
      </c>
      <c r="C28" s="61" t="str">
        <f t="shared" si="1"/>
        <v/>
      </c>
      <c r="D28" s="61"/>
      <c r="E28" s="61"/>
      <c r="F28" s="48"/>
      <c r="G28" s="48"/>
      <c r="H28" s="48"/>
      <c r="I28" s="48"/>
      <c r="J28" s="48"/>
      <c r="K28" s="48"/>
      <c r="L28" s="48"/>
    </row>
    <row r="29" spans="1:12" x14ac:dyDescent="0.3">
      <c r="A29" s="58" t="s">
        <v>81</v>
      </c>
      <c r="B29" s="62" t="str">
        <f>Valuation_Entity8!B37</f>
        <v/>
      </c>
      <c r="C29" s="62" t="str">
        <f t="shared" si="1"/>
        <v/>
      </c>
      <c r="D29" s="62"/>
      <c r="E29" s="62"/>
      <c r="F29" s="48"/>
      <c r="G29" s="48"/>
      <c r="H29" s="48"/>
      <c r="I29" s="48"/>
      <c r="J29" s="48"/>
      <c r="K29" s="48"/>
      <c r="L29" s="48"/>
    </row>
    <row r="30" spans="1:12" x14ac:dyDescent="0.3">
      <c r="A30" s="58" t="s">
        <v>97</v>
      </c>
      <c r="B30" s="78" t="str">
        <f>Valuation_Entity9!B37</f>
        <v/>
      </c>
      <c r="C30" s="95" t="str">
        <f t="shared" si="1"/>
        <v/>
      </c>
      <c r="D30" s="48"/>
      <c r="E30" s="48"/>
      <c r="F30" s="48"/>
      <c r="G30" s="48"/>
      <c r="H30" s="48"/>
      <c r="I30" s="48"/>
      <c r="J30" s="48"/>
      <c r="K30" s="48"/>
      <c r="L30" s="48"/>
    </row>
    <row r="31" spans="1:12" x14ac:dyDescent="0.3">
      <c r="A31" s="93" t="s">
        <v>14</v>
      </c>
      <c r="B31" s="97" t="str">
        <f>Valuation_Entity10!B37</f>
        <v/>
      </c>
      <c r="C31" s="98" t="str">
        <f t="shared" si="1"/>
        <v/>
      </c>
      <c r="D31" s="94"/>
      <c r="E31" s="48"/>
      <c r="F31" s="48"/>
      <c r="G31" s="48"/>
      <c r="H31" s="48"/>
      <c r="I31" s="48"/>
      <c r="J31" s="48"/>
      <c r="K31" s="48"/>
      <c r="L31" s="48"/>
    </row>
    <row r="32" spans="1:12" x14ac:dyDescent="0.3">
      <c r="A32" s="60" t="s">
        <v>395</v>
      </c>
      <c r="B32" s="96" t="s">
        <v>396</v>
      </c>
      <c r="C32" s="96"/>
      <c r="D32" s="60"/>
      <c r="E32" s="48"/>
      <c r="F32" s="48"/>
      <c r="G32" s="48"/>
      <c r="H32" s="48"/>
      <c r="I32" s="48"/>
      <c r="J32" s="48"/>
      <c r="K32" s="48"/>
      <c r="L32" s="48"/>
    </row>
    <row r="33" spans="1:13" x14ac:dyDescent="0.3">
      <c r="A33" s="3" t="s">
        <v>362</v>
      </c>
      <c r="B33" s="5">
        <f>0</f>
        <v>0</v>
      </c>
      <c r="C33" s="14">
        <f>IFERROR(B33/G15,0)</f>
        <v>0</v>
      </c>
      <c r="D33" s="4"/>
      <c r="L33" t="str">
        <f>Valuation_Entity3!B37</f>
        <v/>
      </c>
      <c r="M33" t="str">
        <f>IF(OR($L$9="",$L$9=0,B24=""),"",B24/$L$9)</f>
        <v/>
      </c>
    </row>
    <row r="34" spans="1:13" x14ac:dyDescent="0.3">
      <c r="A34" s="3" t="s">
        <v>363</v>
      </c>
      <c r="B34" s="5">
        <f>0</f>
        <v>0</v>
      </c>
      <c r="C34" s="14">
        <f>IFERROR(B34/G15,0)</f>
        <v>0</v>
      </c>
      <c r="D34" s="4"/>
      <c r="L34" t="str">
        <f>Valuation_Entity10!B37</f>
        <v/>
      </c>
      <c r="M34" t="str">
        <f>IF(OR($L$9="",$L$9=0,B31=""),"",B31/$L$9)</f>
        <v/>
      </c>
    </row>
    <row r="35" spans="1:13" x14ac:dyDescent="0.3">
      <c r="A35" s="3" t="s">
        <v>364</v>
      </c>
      <c r="B35" s="5">
        <f>0</f>
        <v>0</v>
      </c>
      <c r="C35" s="14">
        <f>IFERROR(B35/G15,0)</f>
        <v>0</v>
      </c>
      <c r="D35" s="4"/>
    </row>
    <row r="36" spans="1:13" x14ac:dyDescent="0.3">
      <c r="A36" s="3" t="s">
        <v>365</v>
      </c>
      <c r="B36" s="7">
        <f>SUM(B33:B35)</f>
        <v>0</v>
      </c>
      <c r="C36" s="14">
        <f>IFERROR(B36/G15,0)</f>
        <v>0</v>
      </c>
    </row>
    <row r="37" spans="1:13" x14ac:dyDescent="0.3">
      <c r="A37" s="3" t="s">
        <v>397</v>
      </c>
      <c r="B37" s="13">
        <f>IF(L5="","",L5+B36)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BF02-5E17-441D-AA98-194E48F512AD}">
  <dimension ref="A1:AG15"/>
  <sheetViews>
    <sheetView workbookViewId="0"/>
  </sheetViews>
  <sheetFormatPr defaultRowHeight="14.4" x14ac:dyDescent="0.3"/>
  <cols>
    <col min="1" max="1" width="38.109375" customWidth="1"/>
    <col min="2" max="2" width="28.5546875" customWidth="1"/>
    <col min="3" max="3" width="15.33203125" customWidth="1"/>
    <col min="4" max="4" width="38.109375" customWidth="1"/>
  </cols>
  <sheetData>
    <row r="1" spans="1:33" ht="18" x14ac:dyDescent="0.35">
      <c r="A1" s="99" t="s">
        <v>398</v>
      </c>
      <c r="B1" s="99"/>
      <c r="C1" s="99"/>
      <c r="D1" s="99"/>
      <c r="X1" t="s">
        <v>5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399</v>
      </c>
    </row>
    <row r="2" spans="1:33" x14ac:dyDescent="0.3">
      <c r="X2" t="s">
        <v>20</v>
      </c>
      <c r="Y2" t="s">
        <v>17</v>
      </c>
      <c r="Z2" t="s">
        <v>21</v>
      </c>
      <c r="AA2" t="s">
        <v>22</v>
      </c>
      <c r="AB2" t="s">
        <v>23</v>
      </c>
      <c r="AC2" t="s">
        <v>24</v>
      </c>
      <c r="AD2" t="s">
        <v>25</v>
      </c>
      <c r="AE2" t="s">
        <v>26</v>
      </c>
      <c r="AF2" t="s">
        <v>27</v>
      </c>
      <c r="AG2" t="s">
        <v>399</v>
      </c>
    </row>
    <row r="3" spans="1:33" x14ac:dyDescent="0.3">
      <c r="A3" s="2" t="s">
        <v>400</v>
      </c>
      <c r="B3" s="2" t="s">
        <v>401</v>
      </c>
      <c r="C3" s="2" t="s">
        <v>311</v>
      </c>
      <c r="D3" s="2" t="s">
        <v>90</v>
      </c>
    </row>
    <row r="4" spans="1:33" ht="18" x14ac:dyDescent="0.35">
      <c r="A4" s="3" t="s">
        <v>402</v>
      </c>
      <c r="B4" s="10" t="str">
        <f>IF(OR(Fin_Inputs_Entity1!F23=0,Fin_Inputs_Entity1!F23=(Fin_Inputs_Entity1!F28+Fin_Inputs_Entity1!F29)),"PASS","FAIL")</f>
        <v>PASS</v>
      </c>
      <c r="C4" s="11" t="str">
        <f t="shared" ref="C4:C9" si="0">IF(B4="PASS","✓",IF(B4="FAIL","✗","?"))</f>
        <v>✓</v>
      </c>
      <c r="D4" t="s">
        <v>403</v>
      </c>
    </row>
    <row r="5" spans="1:33" ht="18" x14ac:dyDescent="0.35">
      <c r="A5" s="3" t="s">
        <v>404</v>
      </c>
      <c r="B5" s="10" t="str">
        <f>IF(OR(Fin_Inputs_Entity1!F37=0,Fin_Inputs_Entity1!F37=(Fin_Inputs_Entity1!F33+Fin_Inputs_Entity1!F34-Fin_Inputs_Entity1!F35-Fin_Inputs_Entity1!F36)),"PASS","FAIL")</f>
        <v>PASS</v>
      </c>
      <c r="C5" s="11" t="str">
        <f t="shared" si="0"/>
        <v>✓</v>
      </c>
      <c r="D5" t="s">
        <v>405</v>
      </c>
    </row>
    <row r="6" spans="1:33" ht="18" x14ac:dyDescent="0.35">
      <c r="A6" s="3" t="s">
        <v>406</v>
      </c>
      <c r="B6" s="10" t="str">
        <f>IF(COUNTBLANK(Fin_Inputs_Entity1!B5:F14)&gt;0,"FAIL","PASS")</f>
        <v>FAIL</v>
      </c>
      <c r="C6" s="11" t="str">
        <f t="shared" si="0"/>
        <v>✗</v>
      </c>
      <c r="D6" t="s">
        <v>407</v>
      </c>
    </row>
    <row r="7" spans="1:33" ht="18" x14ac:dyDescent="0.35">
      <c r="A7" s="3" t="s">
        <v>408</v>
      </c>
      <c r="B7" s="10" t="str">
        <f>IF(OR(IFERROR(ABS(Fin_Inputs_Entity1!F5/Fin_Inputs_Entity1!B5-1),0)&gt;1,IFERROR(ABS(Fin_Inputs_Entity1!F9/Fin_Inputs_Entity1!B9-1),0)&gt;2),"FAIL","PASS")</f>
        <v>PASS</v>
      </c>
      <c r="C7" s="11" t="str">
        <f t="shared" si="0"/>
        <v>✓</v>
      </c>
      <c r="D7" t="s">
        <v>409</v>
      </c>
    </row>
    <row r="8" spans="1:33" ht="18" x14ac:dyDescent="0.35">
      <c r="A8" s="3" t="s">
        <v>410</v>
      </c>
      <c r="B8" s="10" t="str">
        <f>IF(NR_FX_Final&gt;0,"PASS","FAIL")</f>
        <v>PASS</v>
      </c>
      <c r="C8" s="11" t="str">
        <f t="shared" si="0"/>
        <v>✓</v>
      </c>
      <c r="D8" t="s">
        <v>411</v>
      </c>
    </row>
    <row r="9" spans="1:33" ht="18" x14ac:dyDescent="0.35">
      <c r="A9" s="3" t="s">
        <v>412</v>
      </c>
      <c r="B9" s="10" t="str">
        <f>IF(AND(NR_Final_Valuation&gt;=0,NR_DCF_Value&gt;=0),"PASS","FAIL")</f>
        <v>PASS</v>
      </c>
      <c r="C9" s="11" t="str">
        <f t="shared" si="0"/>
        <v>✓</v>
      </c>
      <c r="D9" t="s">
        <v>413</v>
      </c>
    </row>
    <row r="11" spans="1:33" x14ac:dyDescent="0.3">
      <c r="A11" s="102" t="s">
        <v>414</v>
      </c>
      <c r="B11" s="102"/>
      <c r="C11" s="102"/>
      <c r="D11" s="102"/>
    </row>
    <row r="12" spans="1:33" x14ac:dyDescent="0.3">
      <c r="A12" s="3" t="s">
        <v>415</v>
      </c>
      <c r="B12" s="5">
        <f>6</f>
        <v>6</v>
      </c>
    </row>
    <row r="13" spans="1:33" x14ac:dyDescent="0.3">
      <c r="A13" s="3" t="s">
        <v>416</v>
      </c>
      <c r="B13" s="5">
        <f>COUNTIF(B4:B9,"PASS")</f>
        <v>5</v>
      </c>
    </row>
    <row r="14" spans="1:33" x14ac:dyDescent="0.3">
      <c r="A14" s="3" t="s">
        <v>417</v>
      </c>
      <c r="B14" s="5">
        <f>COUNTIF(B4:B9,"FAIL")+COUNTIF(B4:B9,"CHECK")</f>
        <v>1</v>
      </c>
    </row>
    <row r="15" spans="1:33" x14ac:dyDescent="0.3">
      <c r="A15" s="3" t="s">
        <v>418</v>
      </c>
      <c r="B15" s="7" t="str">
        <f>IF(B14=0,"ALL PASSED",IF(COUNTIF(B4:B9,"FAIL")&gt;0,"REVIEW REQUIRED","NEEDS ATTENTION"))</f>
        <v>REVIEW REQUIRED</v>
      </c>
    </row>
  </sheetData>
  <mergeCells count="2">
    <mergeCell ref="A1:D1"/>
    <mergeCell ref="A11:D11"/>
  </mergeCells>
  <conditionalFormatting sqref="B4:B9">
    <cfRule type="containsText" dxfId="8" priority="1" operator="containsText" text="PASS">
      <formula>NOT(ISERROR(SEARCH("PASS",B4)))</formula>
    </cfRule>
    <cfRule type="containsText" dxfId="7" priority="2" operator="containsText" text="FAIL">
      <formula>NOT(ISERROR(SEARCH("FAIL",B4)))</formula>
    </cfRule>
    <cfRule type="containsText" dxfId="6" priority="5" operator="containsText" text="PASS">
      <formula>NOT(ISERROR(SEARCH("PASS",B4)))</formula>
    </cfRule>
    <cfRule type="containsText" dxfId="5" priority="6" operator="containsText" text="FAIL">
      <formula>NOT(ISERROR(SEARCH("FAIL",B4)))</formula>
    </cfRule>
    <cfRule type="containsText" dxfId="4" priority="7" operator="containsText" text="CHECK">
      <formula>NOT(ISERROR(SEARCH("CHECK",B4)))</formula>
    </cfRule>
  </conditionalFormatting>
  <conditionalFormatting sqref="B15">
    <cfRule type="containsText" dxfId="3" priority="3" operator="containsText" text="PASSED">
      <formula>NOT(ISERROR(SEARCH("PASSED",B15)))</formula>
    </cfRule>
    <cfRule type="containsText" dxfId="2" priority="4" operator="containsText" text="REVIEW">
      <formula>NOT(ISERROR(SEARCH("REVIEW",B15)))</formula>
    </cfRule>
    <cfRule type="containsText" dxfId="1" priority="8" operator="containsText" text="ALL PASSED">
      <formula>NOT(ISERROR(SEARCH("ALL PASSED",B15)))</formula>
    </cfRule>
    <cfRule type="containsText" dxfId="0" priority="9" operator="containsText" text="REVIEW REQUIRED">
      <formula>NOT(ISERROR(SEARCH("REVIEW REQUIRED",B15)))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0398-84B0-4F19-9B3C-C279D7F2D883}">
  <dimension ref="A1:C45"/>
  <sheetViews>
    <sheetView workbookViewId="0"/>
  </sheetViews>
  <sheetFormatPr defaultRowHeight="14.4" x14ac:dyDescent="0.3"/>
  <cols>
    <col min="1" max="1" width="34.33203125" customWidth="1"/>
    <col min="2" max="3" width="28.5546875" customWidth="1"/>
  </cols>
  <sheetData>
    <row r="1" spans="1:3" ht="21" x14ac:dyDescent="0.4">
      <c r="A1" s="104" t="s">
        <v>419</v>
      </c>
      <c r="B1" s="104"/>
      <c r="C1" s="104"/>
    </row>
    <row r="3" spans="1:3" x14ac:dyDescent="0.3">
      <c r="A3" s="102" t="s">
        <v>420</v>
      </c>
      <c r="B3" s="102"/>
      <c r="C3" s="102"/>
    </row>
    <row r="4" spans="1:3" x14ac:dyDescent="0.3">
      <c r="A4" s="3" t="s">
        <v>28</v>
      </c>
      <c r="B4" s="5">
        <f>NR_Client_Name</f>
        <v>0</v>
      </c>
    </row>
    <row r="5" spans="1:3" x14ac:dyDescent="0.3">
      <c r="A5" s="3" t="s">
        <v>50</v>
      </c>
      <c r="B5" s="5">
        <f>NR_Valuation_Date</f>
        <v>0</v>
      </c>
    </row>
    <row r="6" spans="1:3" x14ac:dyDescent="0.3">
      <c r="A6" s="3" t="s">
        <v>57</v>
      </c>
      <c r="B6" s="5">
        <f>NR_Service_Line</f>
        <v>0</v>
      </c>
    </row>
    <row r="7" spans="1:3" x14ac:dyDescent="0.3">
      <c r="A7" s="3" t="s">
        <v>281</v>
      </c>
      <c r="B7" s="5">
        <f>NR_Industry</f>
        <v>0</v>
      </c>
    </row>
    <row r="8" spans="1:3" x14ac:dyDescent="0.3">
      <c r="A8" s="3" t="s">
        <v>42</v>
      </c>
      <c r="B8" s="5">
        <f>NR_Location</f>
        <v>0</v>
      </c>
    </row>
    <row r="10" spans="1:3" x14ac:dyDescent="0.3">
      <c r="A10" s="102" t="s">
        <v>421</v>
      </c>
      <c r="B10" s="102"/>
      <c r="C10" s="102"/>
    </row>
    <row r="11" spans="1:3" x14ac:dyDescent="0.3">
      <c r="A11" s="3" t="s">
        <v>229</v>
      </c>
      <c r="B11" s="16" t="str">
        <f>NR_DCF_Value</f>
        <v/>
      </c>
    </row>
    <row r="12" spans="1:3" x14ac:dyDescent="0.3">
      <c r="A12" s="3" t="s">
        <v>230</v>
      </c>
      <c r="B12" s="16" t="str">
        <f>NR_Multiples_Value</f>
        <v>Valuation!D30</v>
      </c>
    </row>
    <row r="13" spans="1:3" ht="18" x14ac:dyDescent="0.35">
      <c r="A13" s="3" t="s">
        <v>231</v>
      </c>
      <c r="B13" s="17" t="str">
        <f>NR_Final_Valuation</f>
        <v/>
      </c>
    </row>
    <row r="15" spans="1:3" x14ac:dyDescent="0.3">
      <c r="A15" s="102" t="s">
        <v>163</v>
      </c>
      <c r="B15" s="102"/>
      <c r="C15" s="102"/>
    </row>
    <row r="16" spans="1:3" x14ac:dyDescent="0.3">
      <c r="A16" s="3" t="s">
        <v>167</v>
      </c>
      <c r="B16" s="14" t="str">
        <f>KPIs!C4</f>
        <v/>
      </c>
    </row>
    <row r="17" spans="1:3" x14ac:dyDescent="0.3">
      <c r="A17" s="3" t="s">
        <v>171</v>
      </c>
      <c r="B17" s="14" t="str">
        <f>KPIs!C6</f>
        <v/>
      </c>
    </row>
    <row r="18" spans="1:3" x14ac:dyDescent="0.3">
      <c r="A18" s="3" t="s">
        <v>173</v>
      </c>
      <c r="B18" s="14" t="str">
        <f>KPIs!C7</f>
        <v/>
      </c>
    </row>
    <row r="19" spans="1:3" x14ac:dyDescent="0.3">
      <c r="A19" s="3" t="s">
        <v>181</v>
      </c>
      <c r="B19" s="18" t="str">
        <f>KPIs!C11</f>
        <v/>
      </c>
    </row>
    <row r="20" spans="1:3" x14ac:dyDescent="0.3">
      <c r="A20" s="3" t="s">
        <v>187</v>
      </c>
      <c r="B20" s="14" t="str">
        <f>KPIs!C14</f>
        <v/>
      </c>
    </row>
    <row r="22" spans="1:3" x14ac:dyDescent="0.3">
      <c r="A22" s="102" t="s">
        <v>422</v>
      </c>
      <c r="B22" s="102"/>
      <c r="C22" s="102"/>
    </row>
    <row r="23" spans="1:3" x14ac:dyDescent="0.3">
      <c r="A23" s="2" t="s">
        <v>220</v>
      </c>
      <c r="B23" s="2" t="s">
        <v>280</v>
      </c>
      <c r="C23" s="2" t="s">
        <v>281</v>
      </c>
    </row>
    <row r="24" spans="1:3" x14ac:dyDescent="0.3">
      <c r="A24" s="3" t="s">
        <v>171</v>
      </c>
      <c r="B24" s="5" t="str">
        <f>KPIs!C6</f>
        <v/>
      </c>
      <c r="C24" s="5">
        <f>Benchmarking!C5</f>
        <v>0</v>
      </c>
    </row>
    <row r="25" spans="1:3" x14ac:dyDescent="0.3">
      <c r="A25" s="3" t="s">
        <v>173</v>
      </c>
      <c r="B25" s="5" t="str">
        <f>KPIs!C7</f>
        <v/>
      </c>
      <c r="C25" s="5">
        <f>Benchmarking!C6</f>
        <v>0</v>
      </c>
    </row>
    <row r="26" spans="1:3" x14ac:dyDescent="0.3">
      <c r="A26" s="3" t="s">
        <v>268</v>
      </c>
      <c r="B26" s="5" t="str">
        <f>KPIs!C4</f>
        <v/>
      </c>
      <c r="C26" s="5">
        <f>Benchmarking!C4</f>
        <v>0</v>
      </c>
    </row>
    <row r="28" spans="1:3" x14ac:dyDescent="0.3">
      <c r="A28" s="102" t="s">
        <v>423</v>
      </c>
      <c r="B28" s="102"/>
      <c r="C28" s="102"/>
    </row>
    <row r="29" spans="1:3" x14ac:dyDescent="0.3">
      <c r="A29" s="1" t="s">
        <v>424</v>
      </c>
    </row>
    <row r="30" spans="1:3" x14ac:dyDescent="0.3">
      <c r="A30" s="6" t="s">
        <v>425</v>
      </c>
    </row>
    <row r="32" spans="1:3" x14ac:dyDescent="0.3">
      <c r="A32" s="1" t="s">
        <v>426</v>
      </c>
    </row>
    <row r="33" spans="1:3" x14ac:dyDescent="0.3">
      <c r="A33" s="6" t="s">
        <v>427</v>
      </c>
    </row>
    <row r="35" spans="1:3" x14ac:dyDescent="0.3">
      <c r="A35" s="1" t="s">
        <v>428</v>
      </c>
    </row>
    <row r="36" spans="1:3" x14ac:dyDescent="0.3">
      <c r="A36" s="6" t="s">
        <v>429</v>
      </c>
    </row>
    <row r="38" spans="1:3" x14ac:dyDescent="0.3">
      <c r="A38" s="1" t="s">
        <v>430</v>
      </c>
    </row>
    <row r="39" spans="1:3" x14ac:dyDescent="0.3">
      <c r="A39" s="6" t="s">
        <v>431</v>
      </c>
    </row>
    <row r="41" spans="1:3" x14ac:dyDescent="0.3">
      <c r="A41" s="102" t="s">
        <v>432</v>
      </c>
      <c r="B41" s="102"/>
      <c r="C41" s="102"/>
    </row>
    <row r="42" spans="1:3" x14ac:dyDescent="0.3">
      <c r="A42" s="3" t="s">
        <v>433</v>
      </c>
      <c r="B42" s="6" t="s">
        <v>434</v>
      </c>
    </row>
    <row r="43" spans="1:3" x14ac:dyDescent="0.3">
      <c r="A43" s="3" t="s">
        <v>435</v>
      </c>
      <c r="B43" s="6" t="s">
        <v>434</v>
      </c>
    </row>
    <row r="44" spans="1:3" x14ac:dyDescent="0.3">
      <c r="A44" s="3" t="s">
        <v>275</v>
      </c>
      <c r="B44" s="6" t="s">
        <v>434</v>
      </c>
    </row>
    <row r="45" spans="1:3" x14ac:dyDescent="0.3">
      <c r="A45" s="3" t="s">
        <v>279</v>
      </c>
      <c r="B45" s="6" t="s">
        <v>434</v>
      </c>
    </row>
  </sheetData>
  <mergeCells count="7">
    <mergeCell ref="A41:C41"/>
    <mergeCell ref="A1:C1"/>
    <mergeCell ref="A3:C3"/>
    <mergeCell ref="A10:C10"/>
    <mergeCell ref="A15:C15"/>
    <mergeCell ref="A22:C22"/>
    <mergeCell ref="A28:C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18B7-9001-49E2-A892-563986DB8BF5}">
  <dimension ref="A1:F37"/>
  <sheetViews>
    <sheetView workbookViewId="0">
      <selection sqref="A1:F1"/>
    </sheetView>
  </sheetViews>
  <sheetFormatPr defaultRowHeight="14.4" x14ac:dyDescent="0.3"/>
  <cols>
    <col min="1" max="1" width="21.44140625" bestFit="1" customWidth="1"/>
    <col min="2" max="6" width="6.109375" bestFit="1" customWidth="1"/>
  </cols>
  <sheetData>
    <row r="1" spans="1:6" x14ac:dyDescent="0.3">
      <c r="A1" s="100" t="s">
        <v>436</v>
      </c>
      <c r="B1" s="100"/>
      <c r="C1" s="100"/>
      <c r="D1" s="100"/>
      <c r="E1" s="100"/>
      <c r="F1" s="100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101" t="s">
        <v>106</v>
      </c>
      <c r="B3" s="101"/>
      <c r="C3" s="101"/>
      <c r="D3" s="101"/>
      <c r="E3" s="101"/>
      <c r="F3" s="101"/>
    </row>
    <row r="4" spans="1:6" x14ac:dyDescent="0.3">
      <c r="A4" s="27" t="s">
        <v>107</v>
      </c>
      <c r="B4" s="27" t="s">
        <v>108</v>
      </c>
      <c r="C4" s="27" t="s">
        <v>109</v>
      </c>
      <c r="D4" s="27" t="s">
        <v>110</v>
      </c>
      <c r="E4" s="27" t="s">
        <v>111</v>
      </c>
      <c r="F4" s="27" t="s">
        <v>112</v>
      </c>
    </row>
    <row r="5" spans="1:6" x14ac:dyDescent="0.3">
      <c r="A5" s="25" t="s">
        <v>113</v>
      </c>
      <c r="B5" s="26"/>
      <c r="C5" s="26"/>
      <c r="D5" s="26"/>
      <c r="E5" s="26"/>
      <c r="F5" s="26"/>
    </row>
    <row r="6" spans="1:6" x14ac:dyDescent="0.3">
      <c r="A6" s="25" t="s">
        <v>114</v>
      </c>
      <c r="B6" s="26"/>
      <c r="C6" s="26"/>
      <c r="D6" s="26"/>
      <c r="E6" s="26"/>
      <c r="F6" s="26"/>
    </row>
    <row r="7" spans="1:6" x14ac:dyDescent="0.3">
      <c r="A7" s="25" t="s">
        <v>115</v>
      </c>
      <c r="B7" s="26"/>
      <c r="C7" s="26"/>
      <c r="D7" s="26"/>
      <c r="E7" s="26"/>
      <c r="F7" s="26"/>
    </row>
    <row r="8" spans="1:6" x14ac:dyDescent="0.3">
      <c r="A8" s="25" t="s">
        <v>116</v>
      </c>
      <c r="B8" s="26"/>
      <c r="C8" s="26"/>
      <c r="D8" s="26"/>
      <c r="E8" s="26"/>
      <c r="F8" s="26"/>
    </row>
    <row r="9" spans="1:6" x14ac:dyDescent="0.3">
      <c r="A9" s="25" t="s">
        <v>117</v>
      </c>
      <c r="B9" s="26"/>
      <c r="C9" s="26"/>
      <c r="D9" s="26"/>
      <c r="E9" s="26"/>
      <c r="F9" s="26"/>
    </row>
    <row r="10" spans="1:6" x14ac:dyDescent="0.3">
      <c r="A10" s="25" t="s">
        <v>118</v>
      </c>
      <c r="B10" s="26"/>
      <c r="C10" s="26"/>
      <c r="D10" s="26"/>
      <c r="E10" s="26"/>
      <c r="F10" s="26"/>
    </row>
    <row r="11" spans="1:6" x14ac:dyDescent="0.3">
      <c r="A11" s="25" t="s">
        <v>119</v>
      </c>
      <c r="B11" s="26"/>
      <c r="C11" s="26"/>
      <c r="D11" s="26"/>
      <c r="E11" s="26"/>
      <c r="F11" s="26"/>
    </row>
    <row r="12" spans="1:6" x14ac:dyDescent="0.3">
      <c r="A12" s="25" t="s">
        <v>120</v>
      </c>
      <c r="B12" s="26"/>
      <c r="C12" s="26"/>
      <c r="D12" s="26"/>
      <c r="E12" s="26"/>
      <c r="F12" s="26"/>
    </row>
    <row r="13" spans="1:6" x14ac:dyDescent="0.3">
      <c r="A13" s="25" t="s">
        <v>121</v>
      </c>
      <c r="B13" s="26"/>
      <c r="C13" s="26"/>
      <c r="D13" s="26"/>
      <c r="E13" s="26"/>
      <c r="F13" s="26"/>
    </row>
    <row r="14" spans="1:6" x14ac:dyDescent="0.3">
      <c r="A14" s="25" t="s">
        <v>122</v>
      </c>
      <c r="B14" s="26"/>
      <c r="C14" s="26"/>
      <c r="D14" s="26"/>
      <c r="E14" s="26"/>
      <c r="F14" s="26"/>
    </row>
    <row r="15" spans="1:6" x14ac:dyDescent="0.3">
      <c r="A15" s="25"/>
      <c r="B15" s="25"/>
      <c r="C15" s="25"/>
      <c r="D15" s="25"/>
      <c r="E15" s="25"/>
      <c r="F15" s="25"/>
    </row>
    <row r="16" spans="1:6" x14ac:dyDescent="0.3">
      <c r="A16" s="101" t="s">
        <v>123</v>
      </c>
      <c r="B16" s="101"/>
      <c r="C16" s="101"/>
      <c r="D16" s="101"/>
      <c r="E16" s="101"/>
      <c r="F16" s="101"/>
    </row>
    <row r="17" spans="1:6" x14ac:dyDescent="0.3">
      <c r="A17" s="27" t="s">
        <v>107</v>
      </c>
      <c r="B17" s="27" t="s">
        <v>108</v>
      </c>
      <c r="C17" s="27" t="s">
        <v>109</v>
      </c>
      <c r="D17" s="27" t="s">
        <v>110</v>
      </c>
      <c r="E17" s="27" t="s">
        <v>111</v>
      </c>
      <c r="F17" s="27" t="s">
        <v>112</v>
      </c>
    </row>
    <row r="18" spans="1:6" x14ac:dyDescent="0.3">
      <c r="A18" s="25" t="s">
        <v>38</v>
      </c>
      <c r="B18" s="26"/>
      <c r="C18" s="26"/>
      <c r="D18" s="26"/>
      <c r="E18" s="26"/>
      <c r="F18" s="26"/>
    </row>
    <row r="19" spans="1:6" x14ac:dyDescent="0.3">
      <c r="A19" s="25" t="s">
        <v>124</v>
      </c>
      <c r="B19" s="26"/>
      <c r="C19" s="26"/>
      <c r="D19" s="26"/>
      <c r="E19" s="26"/>
      <c r="F19" s="26"/>
    </row>
    <row r="20" spans="1:6" x14ac:dyDescent="0.3">
      <c r="A20" s="25" t="s">
        <v>125</v>
      </c>
      <c r="B20" s="26"/>
      <c r="C20" s="26"/>
      <c r="D20" s="26"/>
      <c r="E20" s="26"/>
      <c r="F20" s="26"/>
    </row>
    <row r="21" spans="1:6" x14ac:dyDescent="0.3">
      <c r="A21" s="25" t="s">
        <v>126</v>
      </c>
      <c r="B21" s="26"/>
      <c r="C21" s="26"/>
      <c r="D21" s="26"/>
      <c r="E21" s="26"/>
      <c r="F21" s="26"/>
    </row>
    <row r="22" spans="1:6" x14ac:dyDescent="0.3">
      <c r="A22" s="25" t="s">
        <v>127</v>
      </c>
      <c r="B22" s="26"/>
      <c r="C22" s="26"/>
      <c r="D22" s="26"/>
      <c r="E22" s="26"/>
      <c r="F22" s="26"/>
    </row>
    <row r="23" spans="1:6" x14ac:dyDescent="0.3">
      <c r="A23" s="25" t="s">
        <v>128</v>
      </c>
      <c r="B23" s="26"/>
      <c r="C23" s="26"/>
      <c r="D23" s="26"/>
      <c r="E23" s="26"/>
      <c r="F23" s="26"/>
    </row>
    <row r="24" spans="1:6" x14ac:dyDescent="0.3">
      <c r="A24" s="25" t="s">
        <v>129</v>
      </c>
      <c r="B24" s="26"/>
      <c r="C24" s="26"/>
      <c r="D24" s="26"/>
      <c r="E24" s="26"/>
      <c r="F24" s="26"/>
    </row>
    <row r="25" spans="1:6" x14ac:dyDescent="0.3">
      <c r="A25" s="25" t="s">
        <v>130</v>
      </c>
      <c r="B25" s="26"/>
      <c r="C25" s="26"/>
      <c r="D25" s="26"/>
      <c r="E25" s="26"/>
      <c r="F25" s="26"/>
    </row>
    <row r="26" spans="1:6" x14ac:dyDescent="0.3">
      <c r="A26" s="25" t="s">
        <v>131</v>
      </c>
      <c r="B26" s="26"/>
      <c r="C26" s="26"/>
      <c r="D26" s="26"/>
      <c r="E26" s="26"/>
      <c r="F26" s="26"/>
    </row>
    <row r="27" spans="1:6" x14ac:dyDescent="0.3">
      <c r="A27" s="25" t="s">
        <v>132</v>
      </c>
      <c r="B27" s="26"/>
      <c r="C27" s="26"/>
      <c r="D27" s="26"/>
      <c r="E27" s="26"/>
      <c r="F27" s="26"/>
    </row>
    <row r="28" spans="1:6" x14ac:dyDescent="0.3">
      <c r="A28" s="25" t="s">
        <v>133</v>
      </c>
      <c r="B28" s="26"/>
      <c r="C28" s="26"/>
      <c r="D28" s="26"/>
      <c r="E28" s="26"/>
      <c r="F28" s="26"/>
    </row>
    <row r="29" spans="1:6" x14ac:dyDescent="0.3">
      <c r="A29" s="25" t="s">
        <v>134</v>
      </c>
      <c r="B29" s="26"/>
      <c r="C29" s="26"/>
      <c r="D29" s="26"/>
      <c r="E29" s="26"/>
      <c r="F29" s="26"/>
    </row>
    <row r="30" spans="1:6" x14ac:dyDescent="0.3">
      <c r="A30" s="25"/>
      <c r="B30" s="25"/>
      <c r="C30" s="25"/>
      <c r="D30" s="25"/>
      <c r="E30" s="25"/>
      <c r="F30" s="25"/>
    </row>
    <row r="31" spans="1:6" x14ac:dyDescent="0.3">
      <c r="A31" s="101" t="s">
        <v>135</v>
      </c>
      <c r="B31" s="101"/>
      <c r="C31" s="101"/>
      <c r="D31" s="101"/>
      <c r="E31" s="101"/>
      <c r="F31" s="101"/>
    </row>
    <row r="32" spans="1:6" x14ac:dyDescent="0.3">
      <c r="A32" s="27" t="s">
        <v>107</v>
      </c>
      <c r="B32" s="27" t="s">
        <v>108</v>
      </c>
      <c r="C32" s="27" t="s">
        <v>109</v>
      </c>
      <c r="D32" s="27" t="s">
        <v>110</v>
      </c>
      <c r="E32" s="27" t="s">
        <v>111</v>
      </c>
      <c r="F32" s="27" t="s">
        <v>112</v>
      </c>
    </row>
    <row r="33" spans="1:6" x14ac:dyDescent="0.3">
      <c r="A33" s="25" t="s">
        <v>122</v>
      </c>
      <c r="B33" s="26"/>
      <c r="C33" s="26"/>
      <c r="D33" s="26"/>
      <c r="E33" s="26"/>
      <c r="F33" s="26"/>
    </row>
    <row r="34" spans="1:6" x14ac:dyDescent="0.3">
      <c r="A34" s="25" t="s">
        <v>118</v>
      </c>
      <c r="B34" s="26"/>
      <c r="C34" s="26"/>
      <c r="D34" s="26"/>
      <c r="E34" s="26"/>
      <c r="F34" s="26"/>
    </row>
    <row r="35" spans="1:6" x14ac:dyDescent="0.3">
      <c r="A35" s="25" t="s">
        <v>136</v>
      </c>
      <c r="B35" s="26"/>
      <c r="C35" s="26"/>
      <c r="D35" s="26"/>
      <c r="E35" s="26"/>
      <c r="F35" s="26"/>
    </row>
    <row r="36" spans="1:6" x14ac:dyDescent="0.3">
      <c r="A36" s="25" t="s">
        <v>137</v>
      </c>
      <c r="B36" s="26"/>
      <c r="C36" s="26"/>
      <c r="D36" s="26"/>
      <c r="E36" s="26"/>
      <c r="F36" s="26"/>
    </row>
    <row r="37" spans="1:6" x14ac:dyDescent="0.3">
      <c r="A37" s="25" t="s">
        <v>138</v>
      </c>
      <c r="B37" s="26"/>
      <c r="C37" s="26"/>
      <c r="D37" s="26"/>
      <c r="E37" s="26"/>
      <c r="F37" s="26"/>
    </row>
  </sheetData>
  <mergeCells count="4">
    <mergeCell ref="A1:F1"/>
    <mergeCell ref="A3:F3"/>
    <mergeCell ref="A16:F16"/>
    <mergeCell ref="A31:F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3714-2591-4974-A25F-448E125F2328}">
  <dimension ref="A1:F37"/>
  <sheetViews>
    <sheetView workbookViewId="0">
      <selection sqref="A1:F1"/>
    </sheetView>
  </sheetViews>
  <sheetFormatPr defaultRowHeight="14.4" x14ac:dyDescent="0.3"/>
  <cols>
    <col min="1" max="1" width="21.44140625" bestFit="1" customWidth="1"/>
    <col min="2" max="6" width="6.109375" bestFit="1" customWidth="1"/>
  </cols>
  <sheetData>
    <row r="1" spans="1:6" x14ac:dyDescent="0.3">
      <c r="A1" s="100" t="s">
        <v>437</v>
      </c>
      <c r="B1" s="100"/>
      <c r="C1" s="100"/>
      <c r="D1" s="100"/>
      <c r="E1" s="100"/>
      <c r="F1" s="100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101" t="s">
        <v>106</v>
      </c>
      <c r="B3" s="101"/>
      <c r="C3" s="101"/>
      <c r="D3" s="101"/>
      <c r="E3" s="101"/>
      <c r="F3" s="101"/>
    </row>
    <row r="4" spans="1:6" x14ac:dyDescent="0.3">
      <c r="A4" s="27" t="s">
        <v>107</v>
      </c>
      <c r="B4" s="27" t="s">
        <v>108</v>
      </c>
      <c r="C4" s="27" t="s">
        <v>109</v>
      </c>
      <c r="D4" s="27" t="s">
        <v>110</v>
      </c>
      <c r="E4" s="27" t="s">
        <v>111</v>
      </c>
      <c r="F4" s="27" t="s">
        <v>112</v>
      </c>
    </row>
    <row r="5" spans="1:6" x14ac:dyDescent="0.3">
      <c r="A5" s="25" t="s">
        <v>113</v>
      </c>
      <c r="B5" s="26"/>
      <c r="C5" s="26"/>
      <c r="D5" s="26"/>
      <c r="E5" s="26"/>
      <c r="F5" s="26"/>
    </row>
    <row r="6" spans="1:6" x14ac:dyDescent="0.3">
      <c r="A6" s="25" t="s">
        <v>114</v>
      </c>
      <c r="B6" s="26"/>
      <c r="C6" s="26"/>
      <c r="D6" s="26"/>
      <c r="E6" s="26"/>
      <c r="F6" s="26"/>
    </row>
    <row r="7" spans="1:6" x14ac:dyDescent="0.3">
      <c r="A7" s="25" t="s">
        <v>115</v>
      </c>
      <c r="B7" s="26"/>
      <c r="C7" s="26"/>
      <c r="D7" s="26"/>
      <c r="E7" s="26"/>
      <c r="F7" s="26"/>
    </row>
    <row r="8" spans="1:6" x14ac:dyDescent="0.3">
      <c r="A8" s="25" t="s">
        <v>116</v>
      </c>
      <c r="B8" s="26"/>
      <c r="C8" s="26"/>
      <c r="D8" s="26"/>
      <c r="E8" s="26"/>
      <c r="F8" s="26"/>
    </row>
    <row r="9" spans="1:6" x14ac:dyDescent="0.3">
      <c r="A9" s="25" t="s">
        <v>117</v>
      </c>
      <c r="B9" s="26"/>
      <c r="C9" s="26"/>
      <c r="D9" s="26"/>
      <c r="E9" s="26"/>
      <c r="F9" s="26"/>
    </row>
    <row r="10" spans="1:6" x14ac:dyDescent="0.3">
      <c r="A10" s="25" t="s">
        <v>118</v>
      </c>
      <c r="B10" s="26"/>
      <c r="C10" s="26"/>
      <c r="D10" s="26"/>
      <c r="E10" s="26"/>
      <c r="F10" s="26"/>
    </row>
    <row r="11" spans="1:6" x14ac:dyDescent="0.3">
      <c r="A11" s="25" t="s">
        <v>119</v>
      </c>
      <c r="B11" s="26"/>
      <c r="C11" s="26"/>
      <c r="D11" s="26"/>
      <c r="E11" s="26"/>
      <c r="F11" s="26"/>
    </row>
    <row r="12" spans="1:6" x14ac:dyDescent="0.3">
      <c r="A12" s="25" t="s">
        <v>120</v>
      </c>
      <c r="B12" s="26"/>
      <c r="C12" s="26"/>
      <c r="D12" s="26"/>
      <c r="E12" s="26"/>
      <c r="F12" s="26"/>
    </row>
    <row r="13" spans="1:6" x14ac:dyDescent="0.3">
      <c r="A13" s="25" t="s">
        <v>121</v>
      </c>
      <c r="B13" s="26"/>
      <c r="C13" s="26"/>
      <c r="D13" s="26"/>
      <c r="E13" s="26"/>
      <c r="F13" s="26"/>
    </row>
    <row r="14" spans="1:6" x14ac:dyDescent="0.3">
      <c r="A14" s="25" t="s">
        <v>122</v>
      </c>
      <c r="B14" s="26"/>
      <c r="C14" s="26"/>
      <c r="D14" s="26"/>
      <c r="E14" s="26"/>
      <c r="F14" s="26"/>
    </row>
    <row r="15" spans="1:6" x14ac:dyDescent="0.3">
      <c r="A15" s="25"/>
      <c r="B15" s="25"/>
      <c r="C15" s="25"/>
      <c r="D15" s="25"/>
      <c r="E15" s="25"/>
      <c r="F15" s="25"/>
    </row>
    <row r="16" spans="1:6" x14ac:dyDescent="0.3">
      <c r="A16" s="101" t="s">
        <v>123</v>
      </c>
      <c r="B16" s="101"/>
      <c r="C16" s="101"/>
      <c r="D16" s="101"/>
      <c r="E16" s="101"/>
      <c r="F16" s="101"/>
    </row>
    <row r="17" spans="1:6" x14ac:dyDescent="0.3">
      <c r="A17" s="27" t="s">
        <v>107</v>
      </c>
      <c r="B17" s="27" t="s">
        <v>108</v>
      </c>
      <c r="C17" s="27" t="s">
        <v>109</v>
      </c>
      <c r="D17" s="27" t="s">
        <v>110</v>
      </c>
      <c r="E17" s="27" t="s">
        <v>111</v>
      </c>
      <c r="F17" s="27" t="s">
        <v>112</v>
      </c>
    </row>
    <row r="18" spans="1:6" x14ac:dyDescent="0.3">
      <c r="A18" s="25" t="s">
        <v>38</v>
      </c>
      <c r="B18" s="26"/>
      <c r="C18" s="26"/>
      <c r="D18" s="26"/>
      <c r="E18" s="26"/>
      <c r="F18" s="26"/>
    </row>
    <row r="19" spans="1:6" x14ac:dyDescent="0.3">
      <c r="A19" s="25" t="s">
        <v>124</v>
      </c>
      <c r="B19" s="26"/>
      <c r="C19" s="26"/>
      <c r="D19" s="26"/>
      <c r="E19" s="26"/>
      <c r="F19" s="26"/>
    </row>
    <row r="20" spans="1:6" x14ac:dyDescent="0.3">
      <c r="A20" s="25" t="s">
        <v>125</v>
      </c>
      <c r="B20" s="26"/>
      <c r="C20" s="26"/>
      <c r="D20" s="26"/>
      <c r="E20" s="26"/>
      <c r="F20" s="26"/>
    </row>
    <row r="21" spans="1:6" x14ac:dyDescent="0.3">
      <c r="A21" s="25" t="s">
        <v>126</v>
      </c>
      <c r="B21" s="26"/>
      <c r="C21" s="26"/>
      <c r="D21" s="26"/>
      <c r="E21" s="26"/>
      <c r="F21" s="26"/>
    </row>
    <row r="22" spans="1:6" x14ac:dyDescent="0.3">
      <c r="A22" s="25" t="s">
        <v>127</v>
      </c>
      <c r="B22" s="26"/>
      <c r="C22" s="26"/>
      <c r="D22" s="26"/>
      <c r="E22" s="26"/>
      <c r="F22" s="26"/>
    </row>
    <row r="23" spans="1:6" x14ac:dyDescent="0.3">
      <c r="A23" s="25" t="s">
        <v>128</v>
      </c>
      <c r="B23" s="26"/>
      <c r="C23" s="26"/>
      <c r="D23" s="26"/>
      <c r="E23" s="26"/>
      <c r="F23" s="26"/>
    </row>
    <row r="24" spans="1:6" x14ac:dyDescent="0.3">
      <c r="A24" s="25" t="s">
        <v>129</v>
      </c>
      <c r="B24" s="26"/>
      <c r="C24" s="26"/>
      <c r="D24" s="26"/>
      <c r="E24" s="26"/>
      <c r="F24" s="26"/>
    </row>
    <row r="25" spans="1:6" x14ac:dyDescent="0.3">
      <c r="A25" s="25" t="s">
        <v>130</v>
      </c>
      <c r="B25" s="26"/>
      <c r="C25" s="26"/>
      <c r="D25" s="26"/>
      <c r="E25" s="26"/>
      <c r="F25" s="26"/>
    </row>
    <row r="26" spans="1:6" x14ac:dyDescent="0.3">
      <c r="A26" s="25" t="s">
        <v>131</v>
      </c>
      <c r="B26" s="26"/>
      <c r="C26" s="26"/>
      <c r="D26" s="26"/>
      <c r="E26" s="26"/>
      <c r="F26" s="26"/>
    </row>
    <row r="27" spans="1:6" x14ac:dyDescent="0.3">
      <c r="A27" s="25" t="s">
        <v>132</v>
      </c>
      <c r="B27" s="26"/>
      <c r="C27" s="26"/>
      <c r="D27" s="26"/>
      <c r="E27" s="26"/>
      <c r="F27" s="26"/>
    </row>
    <row r="28" spans="1:6" x14ac:dyDescent="0.3">
      <c r="A28" s="25" t="s">
        <v>133</v>
      </c>
      <c r="B28" s="26"/>
      <c r="C28" s="26"/>
      <c r="D28" s="26"/>
      <c r="E28" s="26"/>
      <c r="F28" s="26"/>
    </row>
    <row r="29" spans="1:6" x14ac:dyDescent="0.3">
      <c r="A29" s="25" t="s">
        <v>134</v>
      </c>
      <c r="B29" s="26"/>
      <c r="C29" s="26"/>
      <c r="D29" s="26"/>
      <c r="E29" s="26"/>
      <c r="F29" s="26"/>
    </row>
    <row r="30" spans="1:6" x14ac:dyDescent="0.3">
      <c r="A30" s="25"/>
      <c r="B30" s="25"/>
      <c r="C30" s="25"/>
      <c r="D30" s="25"/>
      <c r="E30" s="25"/>
      <c r="F30" s="25"/>
    </row>
    <row r="31" spans="1:6" x14ac:dyDescent="0.3">
      <c r="A31" s="101" t="s">
        <v>135</v>
      </c>
      <c r="B31" s="101"/>
      <c r="C31" s="101"/>
      <c r="D31" s="101"/>
      <c r="E31" s="101"/>
      <c r="F31" s="101"/>
    </row>
    <row r="32" spans="1:6" x14ac:dyDescent="0.3">
      <c r="A32" s="27" t="s">
        <v>107</v>
      </c>
      <c r="B32" s="27" t="s">
        <v>108</v>
      </c>
      <c r="C32" s="27" t="s">
        <v>109</v>
      </c>
      <c r="D32" s="27" t="s">
        <v>110</v>
      </c>
      <c r="E32" s="27" t="s">
        <v>111</v>
      </c>
      <c r="F32" s="27" t="s">
        <v>112</v>
      </c>
    </row>
    <row r="33" spans="1:6" x14ac:dyDescent="0.3">
      <c r="A33" s="25" t="s">
        <v>122</v>
      </c>
      <c r="B33" s="26"/>
      <c r="C33" s="26"/>
      <c r="D33" s="26"/>
      <c r="E33" s="26"/>
      <c r="F33" s="26"/>
    </row>
    <row r="34" spans="1:6" x14ac:dyDescent="0.3">
      <c r="A34" s="25" t="s">
        <v>118</v>
      </c>
      <c r="B34" s="26"/>
      <c r="C34" s="26"/>
      <c r="D34" s="26"/>
      <c r="E34" s="26"/>
      <c r="F34" s="26"/>
    </row>
    <row r="35" spans="1:6" x14ac:dyDescent="0.3">
      <c r="A35" s="25" t="s">
        <v>136</v>
      </c>
      <c r="B35" s="26"/>
      <c r="C35" s="26"/>
      <c r="D35" s="26"/>
      <c r="E35" s="26"/>
      <c r="F35" s="26"/>
    </row>
    <row r="36" spans="1:6" x14ac:dyDescent="0.3">
      <c r="A36" s="25" t="s">
        <v>137</v>
      </c>
      <c r="B36" s="26"/>
      <c r="C36" s="26"/>
      <c r="D36" s="26"/>
      <c r="E36" s="26"/>
      <c r="F36" s="26"/>
    </row>
    <row r="37" spans="1:6" x14ac:dyDescent="0.3">
      <c r="A37" s="25" t="s">
        <v>138</v>
      </c>
      <c r="B37" s="26"/>
      <c r="C37" s="26"/>
      <c r="D37" s="26"/>
      <c r="E37" s="26"/>
      <c r="F37" s="26"/>
    </row>
  </sheetData>
  <mergeCells count="4">
    <mergeCell ref="A1:F1"/>
    <mergeCell ref="A3:F3"/>
    <mergeCell ref="A16:F16"/>
    <mergeCell ref="A31:F3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EFE4-A520-4D3B-A9E3-D58319E6D1A4}">
  <dimension ref="A1:F37"/>
  <sheetViews>
    <sheetView workbookViewId="0">
      <selection sqref="A1:F1"/>
    </sheetView>
  </sheetViews>
  <sheetFormatPr defaultRowHeight="14.4" x14ac:dyDescent="0.3"/>
  <cols>
    <col min="1" max="1" width="21.44140625" bestFit="1" customWidth="1"/>
    <col min="2" max="6" width="6.109375" bestFit="1" customWidth="1"/>
  </cols>
  <sheetData>
    <row r="1" spans="1:6" x14ac:dyDescent="0.3">
      <c r="A1" s="100" t="s">
        <v>438</v>
      </c>
      <c r="B1" s="100"/>
      <c r="C1" s="100"/>
      <c r="D1" s="100"/>
      <c r="E1" s="100"/>
      <c r="F1" s="100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101" t="s">
        <v>106</v>
      </c>
      <c r="B3" s="101"/>
      <c r="C3" s="101"/>
      <c r="D3" s="101"/>
      <c r="E3" s="101"/>
      <c r="F3" s="101"/>
    </row>
    <row r="4" spans="1:6" x14ac:dyDescent="0.3">
      <c r="A4" s="27" t="s">
        <v>107</v>
      </c>
      <c r="B4" s="27" t="s">
        <v>108</v>
      </c>
      <c r="C4" s="27" t="s">
        <v>109</v>
      </c>
      <c r="D4" s="27" t="s">
        <v>110</v>
      </c>
      <c r="E4" s="27" t="s">
        <v>111</v>
      </c>
      <c r="F4" s="27" t="s">
        <v>112</v>
      </c>
    </row>
    <row r="5" spans="1:6" x14ac:dyDescent="0.3">
      <c r="A5" s="25" t="s">
        <v>113</v>
      </c>
      <c r="B5" s="26"/>
      <c r="C5" s="26"/>
      <c r="D5" s="26"/>
      <c r="E5" s="26"/>
      <c r="F5" s="26"/>
    </row>
    <row r="6" spans="1:6" x14ac:dyDescent="0.3">
      <c r="A6" s="25" t="s">
        <v>114</v>
      </c>
      <c r="B6" s="26"/>
      <c r="C6" s="26"/>
      <c r="D6" s="26"/>
      <c r="E6" s="26"/>
      <c r="F6" s="26"/>
    </row>
    <row r="7" spans="1:6" x14ac:dyDescent="0.3">
      <c r="A7" s="25" t="s">
        <v>115</v>
      </c>
      <c r="B7" s="26"/>
      <c r="C7" s="26"/>
      <c r="D7" s="26"/>
      <c r="E7" s="26"/>
      <c r="F7" s="26"/>
    </row>
    <row r="8" spans="1:6" x14ac:dyDescent="0.3">
      <c r="A8" s="25" t="s">
        <v>116</v>
      </c>
      <c r="B8" s="26"/>
      <c r="C8" s="26"/>
      <c r="D8" s="26"/>
      <c r="E8" s="26"/>
      <c r="F8" s="26"/>
    </row>
    <row r="9" spans="1:6" x14ac:dyDescent="0.3">
      <c r="A9" s="25" t="s">
        <v>117</v>
      </c>
      <c r="B9" s="26"/>
      <c r="C9" s="26"/>
      <c r="D9" s="26"/>
      <c r="E9" s="26"/>
      <c r="F9" s="26"/>
    </row>
    <row r="10" spans="1:6" x14ac:dyDescent="0.3">
      <c r="A10" s="25" t="s">
        <v>118</v>
      </c>
      <c r="B10" s="26"/>
      <c r="C10" s="26"/>
      <c r="D10" s="26"/>
      <c r="E10" s="26"/>
      <c r="F10" s="26"/>
    </row>
    <row r="11" spans="1:6" x14ac:dyDescent="0.3">
      <c r="A11" s="25" t="s">
        <v>119</v>
      </c>
      <c r="B11" s="26"/>
      <c r="C11" s="26"/>
      <c r="D11" s="26"/>
      <c r="E11" s="26"/>
      <c r="F11" s="26"/>
    </row>
    <row r="12" spans="1:6" x14ac:dyDescent="0.3">
      <c r="A12" s="25" t="s">
        <v>120</v>
      </c>
      <c r="B12" s="26"/>
      <c r="C12" s="26"/>
      <c r="D12" s="26"/>
      <c r="E12" s="26"/>
      <c r="F12" s="26"/>
    </row>
    <row r="13" spans="1:6" x14ac:dyDescent="0.3">
      <c r="A13" s="25" t="s">
        <v>121</v>
      </c>
      <c r="B13" s="26"/>
      <c r="C13" s="26"/>
      <c r="D13" s="26"/>
      <c r="E13" s="26"/>
      <c r="F13" s="26"/>
    </row>
    <row r="14" spans="1:6" x14ac:dyDescent="0.3">
      <c r="A14" s="25" t="s">
        <v>122</v>
      </c>
      <c r="B14" s="26"/>
      <c r="C14" s="26"/>
      <c r="D14" s="26"/>
      <c r="E14" s="26"/>
      <c r="F14" s="26"/>
    </row>
    <row r="15" spans="1:6" x14ac:dyDescent="0.3">
      <c r="A15" s="25"/>
      <c r="B15" s="25"/>
      <c r="C15" s="25"/>
      <c r="D15" s="25"/>
      <c r="E15" s="25"/>
      <c r="F15" s="25"/>
    </row>
    <row r="16" spans="1:6" x14ac:dyDescent="0.3">
      <c r="A16" s="101" t="s">
        <v>123</v>
      </c>
      <c r="B16" s="101"/>
      <c r="C16" s="101"/>
      <c r="D16" s="101"/>
      <c r="E16" s="101"/>
      <c r="F16" s="101"/>
    </row>
    <row r="17" spans="1:6" x14ac:dyDescent="0.3">
      <c r="A17" s="27" t="s">
        <v>107</v>
      </c>
      <c r="B17" s="27" t="s">
        <v>108</v>
      </c>
      <c r="C17" s="27" t="s">
        <v>109</v>
      </c>
      <c r="D17" s="27" t="s">
        <v>110</v>
      </c>
      <c r="E17" s="27" t="s">
        <v>111</v>
      </c>
      <c r="F17" s="27" t="s">
        <v>112</v>
      </c>
    </row>
    <row r="18" spans="1:6" x14ac:dyDescent="0.3">
      <c r="A18" s="25" t="s">
        <v>38</v>
      </c>
      <c r="B18" s="26"/>
      <c r="C18" s="26"/>
      <c r="D18" s="26"/>
      <c r="E18" s="26"/>
      <c r="F18" s="26"/>
    </row>
    <row r="19" spans="1:6" x14ac:dyDescent="0.3">
      <c r="A19" s="25" t="s">
        <v>124</v>
      </c>
      <c r="B19" s="26"/>
      <c r="C19" s="26"/>
      <c r="D19" s="26"/>
      <c r="E19" s="26"/>
      <c r="F19" s="26"/>
    </row>
    <row r="20" spans="1:6" x14ac:dyDescent="0.3">
      <c r="A20" s="25" t="s">
        <v>125</v>
      </c>
      <c r="B20" s="26"/>
      <c r="C20" s="26"/>
      <c r="D20" s="26"/>
      <c r="E20" s="26"/>
      <c r="F20" s="26"/>
    </row>
    <row r="21" spans="1:6" x14ac:dyDescent="0.3">
      <c r="A21" s="25" t="s">
        <v>126</v>
      </c>
      <c r="B21" s="26"/>
      <c r="C21" s="26"/>
      <c r="D21" s="26"/>
      <c r="E21" s="26"/>
      <c r="F21" s="26"/>
    </row>
    <row r="22" spans="1:6" x14ac:dyDescent="0.3">
      <c r="A22" s="25" t="s">
        <v>127</v>
      </c>
      <c r="B22" s="26"/>
      <c r="C22" s="26"/>
      <c r="D22" s="26"/>
      <c r="E22" s="26"/>
      <c r="F22" s="26"/>
    </row>
    <row r="23" spans="1:6" x14ac:dyDescent="0.3">
      <c r="A23" s="25" t="s">
        <v>128</v>
      </c>
      <c r="B23" s="26"/>
      <c r="C23" s="26"/>
      <c r="D23" s="26"/>
      <c r="E23" s="26"/>
      <c r="F23" s="26"/>
    </row>
    <row r="24" spans="1:6" x14ac:dyDescent="0.3">
      <c r="A24" s="25" t="s">
        <v>129</v>
      </c>
      <c r="B24" s="26"/>
      <c r="C24" s="26"/>
      <c r="D24" s="26"/>
      <c r="E24" s="26"/>
      <c r="F24" s="26"/>
    </row>
    <row r="25" spans="1:6" x14ac:dyDescent="0.3">
      <c r="A25" s="25" t="s">
        <v>130</v>
      </c>
      <c r="B25" s="26"/>
      <c r="C25" s="26"/>
      <c r="D25" s="26"/>
      <c r="E25" s="26"/>
      <c r="F25" s="26"/>
    </row>
    <row r="26" spans="1:6" x14ac:dyDescent="0.3">
      <c r="A26" s="25" t="s">
        <v>131</v>
      </c>
      <c r="B26" s="26"/>
      <c r="C26" s="26"/>
      <c r="D26" s="26"/>
      <c r="E26" s="26"/>
      <c r="F26" s="26"/>
    </row>
    <row r="27" spans="1:6" x14ac:dyDescent="0.3">
      <c r="A27" s="25" t="s">
        <v>132</v>
      </c>
      <c r="B27" s="26"/>
      <c r="C27" s="26"/>
      <c r="D27" s="26"/>
      <c r="E27" s="26"/>
      <c r="F27" s="26"/>
    </row>
    <row r="28" spans="1:6" x14ac:dyDescent="0.3">
      <c r="A28" s="25" t="s">
        <v>133</v>
      </c>
      <c r="B28" s="26"/>
      <c r="C28" s="26"/>
      <c r="D28" s="26"/>
      <c r="E28" s="26"/>
      <c r="F28" s="26"/>
    </row>
    <row r="29" spans="1:6" x14ac:dyDescent="0.3">
      <c r="A29" s="25" t="s">
        <v>134</v>
      </c>
      <c r="B29" s="26"/>
      <c r="C29" s="26"/>
      <c r="D29" s="26"/>
      <c r="E29" s="26"/>
      <c r="F29" s="26"/>
    </row>
    <row r="30" spans="1:6" x14ac:dyDescent="0.3">
      <c r="A30" s="25"/>
      <c r="B30" s="25"/>
      <c r="C30" s="25"/>
      <c r="D30" s="25"/>
      <c r="E30" s="25"/>
      <c r="F30" s="25"/>
    </row>
    <row r="31" spans="1:6" x14ac:dyDescent="0.3">
      <c r="A31" s="101" t="s">
        <v>135</v>
      </c>
      <c r="B31" s="101"/>
      <c r="C31" s="101"/>
      <c r="D31" s="101"/>
      <c r="E31" s="101"/>
      <c r="F31" s="101"/>
    </row>
    <row r="32" spans="1:6" x14ac:dyDescent="0.3">
      <c r="A32" s="27" t="s">
        <v>107</v>
      </c>
      <c r="B32" s="27" t="s">
        <v>108</v>
      </c>
      <c r="C32" s="27" t="s">
        <v>109</v>
      </c>
      <c r="D32" s="27" t="s">
        <v>110</v>
      </c>
      <c r="E32" s="27" t="s">
        <v>111</v>
      </c>
      <c r="F32" s="27" t="s">
        <v>112</v>
      </c>
    </row>
    <row r="33" spans="1:6" x14ac:dyDescent="0.3">
      <c r="A33" s="25" t="s">
        <v>122</v>
      </c>
      <c r="B33" s="26"/>
      <c r="C33" s="26"/>
      <c r="D33" s="26"/>
      <c r="E33" s="26"/>
      <c r="F33" s="26"/>
    </row>
    <row r="34" spans="1:6" x14ac:dyDescent="0.3">
      <c r="A34" s="25" t="s">
        <v>118</v>
      </c>
      <c r="B34" s="26"/>
      <c r="C34" s="26"/>
      <c r="D34" s="26"/>
      <c r="E34" s="26"/>
      <c r="F34" s="26"/>
    </row>
    <row r="35" spans="1:6" x14ac:dyDescent="0.3">
      <c r="A35" s="25" t="s">
        <v>136</v>
      </c>
      <c r="B35" s="26"/>
      <c r="C35" s="26"/>
      <c r="D35" s="26"/>
      <c r="E35" s="26"/>
      <c r="F35" s="26"/>
    </row>
    <row r="36" spans="1:6" x14ac:dyDescent="0.3">
      <c r="A36" s="25" t="s">
        <v>137</v>
      </c>
      <c r="B36" s="26"/>
      <c r="C36" s="26"/>
      <c r="D36" s="26"/>
      <c r="E36" s="26"/>
      <c r="F36" s="26"/>
    </row>
    <row r="37" spans="1:6" x14ac:dyDescent="0.3">
      <c r="A37" s="25" t="s">
        <v>138</v>
      </c>
      <c r="B37" s="26"/>
      <c r="C37" s="26"/>
      <c r="D37" s="26"/>
      <c r="E37" s="26"/>
      <c r="F37" s="26"/>
    </row>
  </sheetData>
  <mergeCells count="4">
    <mergeCell ref="A1:F1"/>
    <mergeCell ref="A3:F3"/>
    <mergeCell ref="A16:F16"/>
    <mergeCell ref="A31:F3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30A-F95B-4FFF-BBC6-5067B2A54533}">
  <dimension ref="A1:F37"/>
  <sheetViews>
    <sheetView workbookViewId="0">
      <selection sqref="A1:F1"/>
    </sheetView>
  </sheetViews>
  <sheetFormatPr defaultRowHeight="14.4" x14ac:dyDescent="0.3"/>
  <cols>
    <col min="1" max="1" width="21.44140625" bestFit="1" customWidth="1"/>
    <col min="2" max="6" width="6.109375" bestFit="1" customWidth="1"/>
  </cols>
  <sheetData>
    <row r="1" spans="1:6" x14ac:dyDescent="0.3">
      <c r="A1" s="100" t="s">
        <v>439</v>
      </c>
      <c r="B1" s="100"/>
      <c r="C1" s="100"/>
      <c r="D1" s="100"/>
      <c r="E1" s="100"/>
      <c r="F1" s="100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101" t="s">
        <v>106</v>
      </c>
      <c r="B3" s="101"/>
      <c r="C3" s="101"/>
      <c r="D3" s="101"/>
      <c r="E3" s="101"/>
      <c r="F3" s="101"/>
    </row>
    <row r="4" spans="1:6" x14ac:dyDescent="0.3">
      <c r="A4" s="27" t="s">
        <v>107</v>
      </c>
      <c r="B4" s="27" t="s">
        <v>108</v>
      </c>
      <c r="C4" s="27" t="s">
        <v>109</v>
      </c>
      <c r="D4" s="27" t="s">
        <v>110</v>
      </c>
      <c r="E4" s="27" t="s">
        <v>111</v>
      </c>
      <c r="F4" s="27" t="s">
        <v>112</v>
      </c>
    </row>
    <row r="5" spans="1:6" x14ac:dyDescent="0.3">
      <c r="A5" s="25" t="s">
        <v>113</v>
      </c>
      <c r="B5" s="26"/>
      <c r="C5" s="26"/>
      <c r="D5" s="26"/>
      <c r="E5" s="26"/>
      <c r="F5" s="26"/>
    </row>
    <row r="6" spans="1:6" x14ac:dyDescent="0.3">
      <c r="A6" s="25" t="s">
        <v>114</v>
      </c>
      <c r="B6" s="26"/>
      <c r="C6" s="26"/>
      <c r="D6" s="26"/>
      <c r="E6" s="26"/>
      <c r="F6" s="26"/>
    </row>
    <row r="7" spans="1:6" x14ac:dyDescent="0.3">
      <c r="A7" s="25" t="s">
        <v>115</v>
      </c>
      <c r="B7" s="26"/>
      <c r="C7" s="26"/>
      <c r="D7" s="26"/>
      <c r="E7" s="26"/>
      <c r="F7" s="26"/>
    </row>
    <row r="8" spans="1:6" x14ac:dyDescent="0.3">
      <c r="A8" s="25" t="s">
        <v>116</v>
      </c>
      <c r="B8" s="26"/>
      <c r="C8" s="26"/>
      <c r="D8" s="26"/>
      <c r="E8" s="26"/>
      <c r="F8" s="26"/>
    </row>
    <row r="9" spans="1:6" x14ac:dyDescent="0.3">
      <c r="A9" s="25" t="s">
        <v>117</v>
      </c>
      <c r="B9" s="26"/>
      <c r="C9" s="26"/>
      <c r="D9" s="26"/>
      <c r="E9" s="26"/>
      <c r="F9" s="26"/>
    </row>
    <row r="10" spans="1:6" x14ac:dyDescent="0.3">
      <c r="A10" s="25" t="s">
        <v>118</v>
      </c>
      <c r="B10" s="26"/>
      <c r="C10" s="26"/>
      <c r="D10" s="26"/>
      <c r="E10" s="26"/>
      <c r="F10" s="26"/>
    </row>
    <row r="11" spans="1:6" x14ac:dyDescent="0.3">
      <c r="A11" s="25" t="s">
        <v>119</v>
      </c>
      <c r="B11" s="26"/>
      <c r="C11" s="26"/>
      <c r="D11" s="26"/>
      <c r="E11" s="26"/>
      <c r="F11" s="26"/>
    </row>
    <row r="12" spans="1:6" x14ac:dyDescent="0.3">
      <c r="A12" s="25" t="s">
        <v>120</v>
      </c>
      <c r="B12" s="26"/>
      <c r="C12" s="26"/>
      <c r="D12" s="26"/>
      <c r="E12" s="26"/>
      <c r="F12" s="26"/>
    </row>
    <row r="13" spans="1:6" x14ac:dyDescent="0.3">
      <c r="A13" s="25" t="s">
        <v>121</v>
      </c>
      <c r="B13" s="26"/>
      <c r="C13" s="26"/>
      <c r="D13" s="26"/>
      <c r="E13" s="26"/>
      <c r="F13" s="26"/>
    </row>
    <row r="14" spans="1:6" x14ac:dyDescent="0.3">
      <c r="A14" s="25" t="s">
        <v>122</v>
      </c>
      <c r="B14" s="26"/>
      <c r="C14" s="26"/>
      <c r="D14" s="26"/>
      <c r="E14" s="26"/>
      <c r="F14" s="26"/>
    </row>
    <row r="15" spans="1:6" x14ac:dyDescent="0.3">
      <c r="A15" s="25"/>
      <c r="B15" s="25"/>
      <c r="C15" s="25"/>
      <c r="D15" s="25"/>
      <c r="E15" s="25"/>
      <c r="F15" s="25"/>
    </row>
    <row r="16" spans="1:6" x14ac:dyDescent="0.3">
      <c r="A16" s="101" t="s">
        <v>123</v>
      </c>
      <c r="B16" s="101"/>
      <c r="C16" s="101"/>
      <c r="D16" s="101"/>
      <c r="E16" s="101"/>
      <c r="F16" s="101"/>
    </row>
    <row r="17" spans="1:6" x14ac:dyDescent="0.3">
      <c r="A17" s="27" t="s">
        <v>107</v>
      </c>
      <c r="B17" s="27" t="s">
        <v>108</v>
      </c>
      <c r="C17" s="27" t="s">
        <v>109</v>
      </c>
      <c r="D17" s="27" t="s">
        <v>110</v>
      </c>
      <c r="E17" s="27" t="s">
        <v>111</v>
      </c>
      <c r="F17" s="27" t="s">
        <v>112</v>
      </c>
    </row>
    <row r="18" spans="1:6" x14ac:dyDescent="0.3">
      <c r="A18" s="25" t="s">
        <v>38</v>
      </c>
      <c r="B18" s="26"/>
      <c r="C18" s="26"/>
      <c r="D18" s="26"/>
      <c r="E18" s="26"/>
      <c r="F18" s="26"/>
    </row>
    <row r="19" spans="1:6" x14ac:dyDescent="0.3">
      <c r="A19" s="25" t="s">
        <v>124</v>
      </c>
      <c r="B19" s="26"/>
      <c r="C19" s="26"/>
      <c r="D19" s="26"/>
      <c r="E19" s="26"/>
      <c r="F19" s="26"/>
    </row>
    <row r="20" spans="1:6" x14ac:dyDescent="0.3">
      <c r="A20" s="25" t="s">
        <v>125</v>
      </c>
      <c r="B20" s="26"/>
      <c r="C20" s="26"/>
      <c r="D20" s="26"/>
      <c r="E20" s="26"/>
      <c r="F20" s="26"/>
    </row>
    <row r="21" spans="1:6" x14ac:dyDescent="0.3">
      <c r="A21" s="25" t="s">
        <v>126</v>
      </c>
      <c r="B21" s="26"/>
      <c r="C21" s="26"/>
      <c r="D21" s="26"/>
      <c r="E21" s="26"/>
      <c r="F21" s="26"/>
    </row>
    <row r="22" spans="1:6" x14ac:dyDescent="0.3">
      <c r="A22" s="25" t="s">
        <v>127</v>
      </c>
      <c r="B22" s="26"/>
      <c r="C22" s="26"/>
      <c r="D22" s="26"/>
      <c r="E22" s="26"/>
      <c r="F22" s="26"/>
    </row>
    <row r="23" spans="1:6" x14ac:dyDescent="0.3">
      <c r="A23" s="25" t="s">
        <v>128</v>
      </c>
      <c r="B23" s="26"/>
      <c r="C23" s="26"/>
      <c r="D23" s="26"/>
      <c r="E23" s="26"/>
      <c r="F23" s="26"/>
    </row>
    <row r="24" spans="1:6" x14ac:dyDescent="0.3">
      <c r="A24" s="25" t="s">
        <v>129</v>
      </c>
      <c r="B24" s="26"/>
      <c r="C24" s="26"/>
      <c r="D24" s="26"/>
      <c r="E24" s="26"/>
      <c r="F24" s="26"/>
    </row>
    <row r="25" spans="1:6" x14ac:dyDescent="0.3">
      <c r="A25" s="25" t="s">
        <v>130</v>
      </c>
      <c r="B25" s="26"/>
      <c r="C25" s="26"/>
      <c r="D25" s="26"/>
      <c r="E25" s="26"/>
      <c r="F25" s="26"/>
    </row>
    <row r="26" spans="1:6" x14ac:dyDescent="0.3">
      <c r="A26" s="25" t="s">
        <v>131</v>
      </c>
      <c r="B26" s="26"/>
      <c r="C26" s="26"/>
      <c r="D26" s="26"/>
      <c r="E26" s="26"/>
      <c r="F26" s="26"/>
    </row>
    <row r="27" spans="1:6" x14ac:dyDescent="0.3">
      <c r="A27" s="25" t="s">
        <v>132</v>
      </c>
      <c r="B27" s="26"/>
      <c r="C27" s="26"/>
      <c r="D27" s="26"/>
      <c r="E27" s="26"/>
      <c r="F27" s="26"/>
    </row>
    <row r="28" spans="1:6" x14ac:dyDescent="0.3">
      <c r="A28" s="25" t="s">
        <v>133</v>
      </c>
      <c r="B28" s="26"/>
      <c r="C28" s="26"/>
      <c r="D28" s="26"/>
      <c r="E28" s="26"/>
      <c r="F28" s="26"/>
    </row>
    <row r="29" spans="1:6" x14ac:dyDescent="0.3">
      <c r="A29" s="25" t="s">
        <v>134</v>
      </c>
      <c r="B29" s="26"/>
      <c r="C29" s="26"/>
      <c r="D29" s="26"/>
      <c r="E29" s="26"/>
      <c r="F29" s="26"/>
    </row>
    <row r="30" spans="1:6" x14ac:dyDescent="0.3">
      <c r="A30" s="25"/>
      <c r="B30" s="25"/>
      <c r="C30" s="25"/>
      <c r="D30" s="25"/>
      <c r="E30" s="25"/>
      <c r="F30" s="25"/>
    </row>
    <row r="31" spans="1:6" x14ac:dyDescent="0.3">
      <c r="A31" s="101" t="s">
        <v>135</v>
      </c>
      <c r="B31" s="101"/>
      <c r="C31" s="101"/>
      <c r="D31" s="101"/>
      <c r="E31" s="101"/>
      <c r="F31" s="101"/>
    </row>
    <row r="32" spans="1:6" x14ac:dyDescent="0.3">
      <c r="A32" s="27" t="s">
        <v>107</v>
      </c>
      <c r="B32" s="27" t="s">
        <v>108</v>
      </c>
      <c r="C32" s="27" t="s">
        <v>109</v>
      </c>
      <c r="D32" s="27" t="s">
        <v>110</v>
      </c>
      <c r="E32" s="27" t="s">
        <v>111</v>
      </c>
      <c r="F32" s="27" t="s">
        <v>112</v>
      </c>
    </row>
    <row r="33" spans="1:6" x14ac:dyDescent="0.3">
      <c r="A33" s="25" t="s">
        <v>122</v>
      </c>
      <c r="B33" s="26"/>
      <c r="C33" s="26"/>
      <c r="D33" s="26"/>
      <c r="E33" s="26"/>
      <c r="F33" s="26"/>
    </row>
    <row r="34" spans="1:6" x14ac:dyDescent="0.3">
      <c r="A34" s="25" t="s">
        <v>118</v>
      </c>
      <c r="B34" s="26"/>
      <c r="C34" s="26"/>
      <c r="D34" s="26"/>
      <c r="E34" s="26"/>
      <c r="F34" s="26"/>
    </row>
    <row r="35" spans="1:6" x14ac:dyDescent="0.3">
      <c r="A35" s="25" t="s">
        <v>136</v>
      </c>
      <c r="B35" s="26"/>
      <c r="C35" s="26"/>
      <c r="D35" s="26"/>
      <c r="E35" s="26"/>
      <c r="F35" s="26"/>
    </row>
    <row r="36" spans="1:6" x14ac:dyDescent="0.3">
      <c r="A36" s="25" t="s">
        <v>137</v>
      </c>
      <c r="B36" s="26"/>
      <c r="C36" s="26"/>
      <c r="D36" s="26"/>
      <c r="E36" s="26"/>
      <c r="F36" s="26"/>
    </row>
    <row r="37" spans="1:6" x14ac:dyDescent="0.3">
      <c r="A37" s="25" t="s">
        <v>138</v>
      </c>
      <c r="B37" s="26"/>
      <c r="C37" s="26"/>
      <c r="D37" s="26"/>
      <c r="E37" s="26"/>
      <c r="F37" s="26"/>
    </row>
  </sheetData>
  <mergeCells count="4">
    <mergeCell ref="A1:F1"/>
    <mergeCell ref="A3:F3"/>
    <mergeCell ref="A16:F16"/>
    <mergeCell ref="A31:F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BE6C-DF12-417E-B59E-D21C5E2B7D6F}">
  <dimension ref="A1:F37"/>
  <sheetViews>
    <sheetView workbookViewId="0">
      <selection sqref="A1:F1"/>
    </sheetView>
  </sheetViews>
  <sheetFormatPr defaultRowHeight="14.4" x14ac:dyDescent="0.3"/>
  <cols>
    <col min="1" max="1" width="21.44140625" bestFit="1" customWidth="1"/>
    <col min="2" max="6" width="6.109375" bestFit="1" customWidth="1"/>
  </cols>
  <sheetData>
    <row r="1" spans="1:6" x14ac:dyDescent="0.3">
      <c r="A1" s="100" t="s">
        <v>440</v>
      </c>
      <c r="B1" s="100"/>
      <c r="C1" s="100"/>
      <c r="D1" s="100"/>
      <c r="E1" s="100"/>
      <c r="F1" s="100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101" t="s">
        <v>106</v>
      </c>
      <c r="B3" s="101"/>
      <c r="C3" s="101"/>
      <c r="D3" s="101"/>
      <c r="E3" s="101"/>
      <c r="F3" s="101"/>
    </row>
    <row r="4" spans="1:6" x14ac:dyDescent="0.3">
      <c r="A4" s="27" t="s">
        <v>107</v>
      </c>
      <c r="B4" s="27" t="s">
        <v>108</v>
      </c>
      <c r="C4" s="27" t="s">
        <v>109</v>
      </c>
      <c r="D4" s="27" t="s">
        <v>110</v>
      </c>
      <c r="E4" s="27" t="s">
        <v>111</v>
      </c>
      <c r="F4" s="27" t="s">
        <v>112</v>
      </c>
    </row>
    <row r="5" spans="1:6" x14ac:dyDescent="0.3">
      <c r="A5" s="25" t="s">
        <v>113</v>
      </c>
      <c r="B5" s="26"/>
      <c r="C5" s="26"/>
      <c r="D5" s="26"/>
      <c r="E5" s="26"/>
      <c r="F5" s="26"/>
    </row>
    <row r="6" spans="1:6" x14ac:dyDescent="0.3">
      <c r="A6" s="25" t="s">
        <v>114</v>
      </c>
      <c r="B6" s="26"/>
      <c r="C6" s="26"/>
      <c r="D6" s="26"/>
      <c r="E6" s="26"/>
      <c r="F6" s="26"/>
    </row>
    <row r="7" spans="1:6" x14ac:dyDescent="0.3">
      <c r="A7" s="25" t="s">
        <v>115</v>
      </c>
      <c r="B7" s="26"/>
      <c r="C7" s="26"/>
      <c r="D7" s="26"/>
      <c r="E7" s="26"/>
      <c r="F7" s="26"/>
    </row>
    <row r="8" spans="1:6" x14ac:dyDescent="0.3">
      <c r="A8" s="25" t="s">
        <v>116</v>
      </c>
      <c r="B8" s="26"/>
      <c r="C8" s="26"/>
      <c r="D8" s="26"/>
      <c r="E8" s="26"/>
      <c r="F8" s="26"/>
    </row>
    <row r="9" spans="1:6" x14ac:dyDescent="0.3">
      <c r="A9" s="25" t="s">
        <v>117</v>
      </c>
      <c r="B9" s="26"/>
      <c r="C9" s="26"/>
      <c r="D9" s="26"/>
      <c r="E9" s="26"/>
      <c r="F9" s="26"/>
    </row>
    <row r="10" spans="1:6" x14ac:dyDescent="0.3">
      <c r="A10" s="25" t="s">
        <v>118</v>
      </c>
      <c r="B10" s="26"/>
      <c r="C10" s="26"/>
      <c r="D10" s="26"/>
      <c r="E10" s="26"/>
      <c r="F10" s="26"/>
    </row>
    <row r="11" spans="1:6" x14ac:dyDescent="0.3">
      <c r="A11" s="25" t="s">
        <v>119</v>
      </c>
      <c r="B11" s="26"/>
      <c r="C11" s="26"/>
      <c r="D11" s="26"/>
      <c r="E11" s="26"/>
      <c r="F11" s="26"/>
    </row>
    <row r="12" spans="1:6" x14ac:dyDescent="0.3">
      <c r="A12" s="25" t="s">
        <v>120</v>
      </c>
      <c r="B12" s="26"/>
      <c r="C12" s="26"/>
      <c r="D12" s="26"/>
      <c r="E12" s="26"/>
      <c r="F12" s="26"/>
    </row>
    <row r="13" spans="1:6" x14ac:dyDescent="0.3">
      <c r="A13" s="25" t="s">
        <v>121</v>
      </c>
      <c r="B13" s="26"/>
      <c r="C13" s="26"/>
      <c r="D13" s="26"/>
      <c r="E13" s="26"/>
      <c r="F13" s="26"/>
    </row>
    <row r="14" spans="1:6" x14ac:dyDescent="0.3">
      <c r="A14" s="25" t="s">
        <v>122</v>
      </c>
      <c r="B14" s="26"/>
      <c r="C14" s="26"/>
      <c r="D14" s="26"/>
      <c r="E14" s="26"/>
      <c r="F14" s="26"/>
    </row>
    <row r="15" spans="1:6" x14ac:dyDescent="0.3">
      <c r="A15" s="25"/>
      <c r="B15" s="25"/>
      <c r="C15" s="25"/>
      <c r="D15" s="25"/>
      <c r="E15" s="25"/>
      <c r="F15" s="25"/>
    </row>
    <row r="16" spans="1:6" x14ac:dyDescent="0.3">
      <c r="A16" s="101" t="s">
        <v>123</v>
      </c>
      <c r="B16" s="101"/>
      <c r="C16" s="101"/>
      <c r="D16" s="101"/>
      <c r="E16" s="101"/>
      <c r="F16" s="101"/>
    </row>
    <row r="17" spans="1:6" x14ac:dyDescent="0.3">
      <c r="A17" s="27" t="s">
        <v>107</v>
      </c>
      <c r="B17" s="27" t="s">
        <v>108</v>
      </c>
      <c r="C17" s="27" t="s">
        <v>109</v>
      </c>
      <c r="D17" s="27" t="s">
        <v>110</v>
      </c>
      <c r="E17" s="27" t="s">
        <v>111</v>
      </c>
      <c r="F17" s="27" t="s">
        <v>112</v>
      </c>
    </row>
    <row r="18" spans="1:6" x14ac:dyDescent="0.3">
      <c r="A18" s="25" t="s">
        <v>38</v>
      </c>
      <c r="B18" s="26"/>
      <c r="C18" s="26"/>
      <c r="D18" s="26"/>
      <c r="E18" s="26"/>
      <c r="F18" s="26"/>
    </row>
    <row r="19" spans="1:6" x14ac:dyDescent="0.3">
      <c r="A19" s="25" t="s">
        <v>124</v>
      </c>
      <c r="B19" s="26"/>
      <c r="C19" s="26"/>
      <c r="D19" s="26"/>
      <c r="E19" s="26"/>
      <c r="F19" s="26"/>
    </row>
    <row r="20" spans="1:6" x14ac:dyDescent="0.3">
      <c r="A20" s="25" t="s">
        <v>125</v>
      </c>
      <c r="B20" s="26"/>
      <c r="C20" s="26"/>
      <c r="D20" s="26"/>
      <c r="E20" s="26"/>
      <c r="F20" s="26"/>
    </row>
    <row r="21" spans="1:6" x14ac:dyDescent="0.3">
      <c r="A21" s="25" t="s">
        <v>126</v>
      </c>
      <c r="B21" s="26"/>
      <c r="C21" s="26"/>
      <c r="D21" s="26"/>
      <c r="E21" s="26"/>
      <c r="F21" s="26"/>
    </row>
    <row r="22" spans="1:6" x14ac:dyDescent="0.3">
      <c r="A22" s="25" t="s">
        <v>127</v>
      </c>
      <c r="B22" s="26"/>
      <c r="C22" s="26"/>
      <c r="D22" s="26"/>
      <c r="E22" s="26"/>
      <c r="F22" s="26"/>
    </row>
    <row r="23" spans="1:6" x14ac:dyDescent="0.3">
      <c r="A23" s="25" t="s">
        <v>128</v>
      </c>
      <c r="B23" s="26"/>
      <c r="C23" s="26"/>
      <c r="D23" s="26"/>
      <c r="E23" s="26"/>
      <c r="F23" s="26"/>
    </row>
    <row r="24" spans="1:6" x14ac:dyDescent="0.3">
      <c r="A24" s="25" t="s">
        <v>129</v>
      </c>
      <c r="B24" s="26"/>
      <c r="C24" s="26"/>
      <c r="D24" s="26"/>
      <c r="E24" s="26"/>
      <c r="F24" s="26"/>
    </row>
    <row r="25" spans="1:6" x14ac:dyDescent="0.3">
      <c r="A25" s="25" t="s">
        <v>130</v>
      </c>
      <c r="B25" s="26"/>
      <c r="C25" s="26"/>
      <c r="D25" s="26"/>
      <c r="E25" s="26"/>
      <c r="F25" s="26"/>
    </row>
    <row r="26" spans="1:6" x14ac:dyDescent="0.3">
      <c r="A26" s="25" t="s">
        <v>131</v>
      </c>
      <c r="B26" s="26"/>
      <c r="C26" s="26"/>
      <c r="D26" s="26"/>
      <c r="E26" s="26"/>
      <c r="F26" s="26"/>
    </row>
    <row r="27" spans="1:6" x14ac:dyDescent="0.3">
      <c r="A27" s="25" t="s">
        <v>132</v>
      </c>
      <c r="B27" s="26"/>
      <c r="C27" s="26"/>
      <c r="D27" s="26"/>
      <c r="E27" s="26"/>
      <c r="F27" s="26"/>
    </row>
    <row r="28" spans="1:6" x14ac:dyDescent="0.3">
      <c r="A28" s="25" t="s">
        <v>133</v>
      </c>
      <c r="B28" s="26"/>
      <c r="C28" s="26"/>
      <c r="D28" s="26"/>
      <c r="E28" s="26"/>
      <c r="F28" s="26"/>
    </row>
    <row r="29" spans="1:6" x14ac:dyDescent="0.3">
      <c r="A29" s="25" t="s">
        <v>134</v>
      </c>
      <c r="B29" s="26"/>
      <c r="C29" s="26"/>
      <c r="D29" s="26"/>
      <c r="E29" s="26"/>
      <c r="F29" s="26"/>
    </row>
    <row r="30" spans="1:6" x14ac:dyDescent="0.3">
      <c r="A30" s="25"/>
      <c r="B30" s="25"/>
      <c r="C30" s="25"/>
      <c r="D30" s="25"/>
      <c r="E30" s="25"/>
      <c r="F30" s="25"/>
    </row>
    <row r="31" spans="1:6" x14ac:dyDescent="0.3">
      <c r="A31" s="101" t="s">
        <v>135</v>
      </c>
      <c r="B31" s="101"/>
      <c r="C31" s="101"/>
      <c r="D31" s="101"/>
      <c r="E31" s="101"/>
      <c r="F31" s="101"/>
    </row>
    <row r="32" spans="1:6" x14ac:dyDescent="0.3">
      <c r="A32" s="27" t="s">
        <v>107</v>
      </c>
      <c r="B32" s="27" t="s">
        <v>108</v>
      </c>
      <c r="C32" s="27" t="s">
        <v>109</v>
      </c>
      <c r="D32" s="27" t="s">
        <v>110</v>
      </c>
      <c r="E32" s="27" t="s">
        <v>111</v>
      </c>
      <c r="F32" s="27" t="s">
        <v>112</v>
      </c>
    </row>
    <row r="33" spans="1:6" x14ac:dyDescent="0.3">
      <c r="A33" s="25" t="s">
        <v>122</v>
      </c>
      <c r="B33" s="26"/>
      <c r="C33" s="26"/>
      <c r="D33" s="26"/>
      <c r="E33" s="26"/>
      <c r="F33" s="26"/>
    </row>
    <row r="34" spans="1:6" x14ac:dyDescent="0.3">
      <c r="A34" s="25" t="s">
        <v>118</v>
      </c>
      <c r="B34" s="26"/>
      <c r="C34" s="26"/>
      <c r="D34" s="26"/>
      <c r="E34" s="26"/>
      <c r="F34" s="26"/>
    </row>
    <row r="35" spans="1:6" x14ac:dyDescent="0.3">
      <c r="A35" s="25" t="s">
        <v>136</v>
      </c>
      <c r="B35" s="26"/>
      <c r="C35" s="26"/>
      <c r="D35" s="26"/>
      <c r="E35" s="26"/>
      <c r="F35" s="26"/>
    </row>
    <row r="36" spans="1:6" x14ac:dyDescent="0.3">
      <c r="A36" s="25" t="s">
        <v>137</v>
      </c>
      <c r="B36" s="26"/>
      <c r="C36" s="26"/>
      <c r="D36" s="26"/>
      <c r="E36" s="26"/>
      <c r="F36" s="26"/>
    </row>
    <row r="37" spans="1:6" x14ac:dyDescent="0.3">
      <c r="A37" s="25" t="s">
        <v>138</v>
      </c>
      <c r="B37" s="26"/>
      <c r="C37" s="26"/>
      <c r="D37" s="26"/>
      <c r="E37" s="26"/>
      <c r="F37" s="26"/>
    </row>
  </sheetData>
  <mergeCells count="4">
    <mergeCell ref="A1:F1"/>
    <mergeCell ref="A3:F3"/>
    <mergeCell ref="A16:F16"/>
    <mergeCell ref="A31:F3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BB74-7894-43D9-94D1-08EB7F464CFF}">
  <dimension ref="A1:F37"/>
  <sheetViews>
    <sheetView workbookViewId="0">
      <selection sqref="A1:F1"/>
    </sheetView>
  </sheetViews>
  <sheetFormatPr defaultRowHeight="14.4" x14ac:dyDescent="0.3"/>
  <cols>
    <col min="1" max="1" width="21.44140625" bestFit="1" customWidth="1"/>
    <col min="2" max="6" width="6.109375" bestFit="1" customWidth="1"/>
  </cols>
  <sheetData>
    <row r="1" spans="1:6" x14ac:dyDescent="0.3">
      <c r="A1" s="100" t="s">
        <v>441</v>
      </c>
      <c r="B1" s="100"/>
      <c r="C1" s="100"/>
      <c r="D1" s="100"/>
      <c r="E1" s="100"/>
      <c r="F1" s="100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101" t="s">
        <v>106</v>
      </c>
      <c r="B3" s="101"/>
      <c r="C3" s="101"/>
      <c r="D3" s="101"/>
      <c r="E3" s="101"/>
      <c r="F3" s="101"/>
    </row>
    <row r="4" spans="1:6" x14ac:dyDescent="0.3">
      <c r="A4" s="27" t="s">
        <v>107</v>
      </c>
      <c r="B4" s="27" t="s">
        <v>108</v>
      </c>
      <c r="C4" s="27" t="s">
        <v>109</v>
      </c>
      <c r="D4" s="27" t="s">
        <v>110</v>
      </c>
      <c r="E4" s="27" t="s">
        <v>111</v>
      </c>
      <c r="F4" s="27" t="s">
        <v>112</v>
      </c>
    </row>
    <row r="5" spans="1:6" x14ac:dyDescent="0.3">
      <c r="A5" s="25" t="s">
        <v>113</v>
      </c>
      <c r="B5" s="26"/>
      <c r="C5" s="26"/>
      <c r="D5" s="26"/>
      <c r="E5" s="26"/>
      <c r="F5" s="26"/>
    </row>
    <row r="6" spans="1:6" x14ac:dyDescent="0.3">
      <c r="A6" s="25" t="s">
        <v>114</v>
      </c>
      <c r="B6" s="26"/>
      <c r="C6" s="26"/>
      <c r="D6" s="26"/>
      <c r="E6" s="26"/>
      <c r="F6" s="26"/>
    </row>
    <row r="7" spans="1:6" x14ac:dyDescent="0.3">
      <c r="A7" s="25" t="s">
        <v>115</v>
      </c>
      <c r="B7" s="26"/>
      <c r="C7" s="26"/>
      <c r="D7" s="26"/>
      <c r="E7" s="26"/>
      <c r="F7" s="26"/>
    </row>
    <row r="8" spans="1:6" x14ac:dyDescent="0.3">
      <c r="A8" s="25" t="s">
        <v>116</v>
      </c>
      <c r="B8" s="26"/>
      <c r="C8" s="26"/>
      <c r="D8" s="26"/>
      <c r="E8" s="26"/>
      <c r="F8" s="26"/>
    </row>
    <row r="9" spans="1:6" x14ac:dyDescent="0.3">
      <c r="A9" s="25" t="s">
        <v>117</v>
      </c>
      <c r="B9" s="26"/>
      <c r="C9" s="26"/>
      <c r="D9" s="26"/>
      <c r="E9" s="26"/>
      <c r="F9" s="26"/>
    </row>
    <row r="10" spans="1:6" x14ac:dyDescent="0.3">
      <c r="A10" s="25" t="s">
        <v>118</v>
      </c>
      <c r="B10" s="26"/>
      <c r="C10" s="26"/>
      <c r="D10" s="26"/>
      <c r="E10" s="26"/>
      <c r="F10" s="26"/>
    </row>
    <row r="11" spans="1:6" x14ac:dyDescent="0.3">
      <c r="A11" s="25" t="s">
        <v>119</v>
      </c>
      <c r="B11" s="26"/>
      <c r="C11" s="26"/>
      <c r="D11" s="26"/>
      <c r="E11" s="26"/>
      <c r="F11" s="26"/>
    </row>
    <row r="12" spans="1:6" x14ac:dyDescent="0.3">
      <c r="A12" s="25" t="s">
        <v>120</v>
      </c>
      <c r="B12" s="26"/>
      <c r="C12" s="26"/>
      <c r="D12" s="26"/>
      <c r="E12" s="26"/>
      <c r="F12" s="26"/>
    </row>
    <row r="13" spans="1:6" x14ac:dyDescent="0.3">
      <c r="A13" s="25" t="s">
        <v>121</v>
      </c>
      <c r="B13" s="26"/>
      <c r="C13" s="26"/>
      <c r="D13" s="26"/>
      <c r="E13" s="26"/>
      <c r="F13" s="26"/>
    </row>
    <row r="14" spans="1:6" x14ac:dyDescent="0.3">
      <c r="A14" s="25" t="s">
        <v>122</v>
      </c>
      <c r="B14" s="26"/>
      <c r="C14" s="26"/>
      <c r="D14" s="26"/>
      <c r="E14" s="26"/>
      <c r="F14" s="26"/>
    </row>
    <row r="15" spans="1:6" x14ac:dyDescent="0.3">
      <c r="A15" s="25"/>
      <c r="B15" s="25"/>
      <c r="C15" s="25"/>
      <c r="D15" s="25"/>
      <c r="E15" s="25"/>
      <c r="F15" s="25"/>
    </row>
    <row r="16" spans="1:6" x14ac:dyDescent="0.3">
      <c r="A16" s="101" t="s">
        <v>123</v>
      </c>
      <c r="B16" s="101"/>
      <c r="C16" s="101"/>
      <c r="D16" s="101"/>
      <c r="E16" s="101"/>
      <c r="F16" s="101"/>
    </row>
    <row r="17" spans="1:6" x14ac:dyDescent="0.3">
      <c r="A17" s="27" t="s">
        <v>107</v>
      </c>
      <c r="B17" s="27" t="s">
        <v>108</v>
      </c>
      <c r="C17" s="27" t="s">
        <v>109</v>
      </c>
      <c r="D17" s="27" t="s">
        <v>110</v>
      </c>
      <c r="E17" s="27" t="s">
        <v>111</v>
      </c>
      <c r="F17" s="27" t="s">
        <v>112</v>
      </c>
    </row>
    <row r="18" spans="1:6" x14ac:dyDescent="0.3">
      <c r="A18" s="25" t="s">
        <v>38</v>
      </c>
      <c r="B18" s="26"/>
      <c r="C18" s="26"/>
      <c r="D18" s="26"/>
      <c r="E18" s="26"/>
      <c r="F18" s="26"/>
    </row>
    <row r="19" spans="1:6" x14ac:dyDescent="0.3">
      <c r="A19" s="25" t="s">
        <v>124</v>
      </c>
      <c r="B19" s="26"/>
      <c r="C19" s="26"/>
      <c r="D19" s="26"/>
      <c r="E19" s="26"/>
      <c r="F19" s="26"/>
    </row>
    <row r="20" spans="1:6" x14ac:dyDescent="0.3">
      <c r="A20" s="25" t="s">
        <v>125</v>
      </c>
      <c r="B20" s="26"/>
      <c r="C20" s="26"/>
      <c r="D20" s="26"/>
      <c r="E20" s="26"/>
      <c r="F20" s="26"/>
    </row>
    <row r="21" spans="1:6" x14ac:dyDescent="0.3">
      <c r="A21" s="25" t="s">
        <v>126</v>
      </c>
      <c r="B21" s="26"/>
      <c r="C21" s="26"/>
      <c r="D21" s="26"/>
      <c r="E21" s="26"/>
      <c r="F21" s="26"/>
    </row>
    <row r="22" spans="1:6" x14ac:dyDescent="0.3">
      <c r="A22" s="25" t="s">
        <v>127</v>
      </c>
      <c r="B22" s="26"/>
      <c r="C22" s="26"/>
      <c r="D22" s="26"/>
      <c r="E22" s="26"/>
      <c r="F22" s="26"/>
    </row>
    <row r="23" spans="1:6" x14ac:dyDescent="0.3">
      <c r="A23" s="25" t="s">
        <v>128</v>
      </c>
      <c r="B23" s="26"/>
      <c r="C23" s="26"/>
      <c r="D23" s="26"/>
      <c r="E23" s="26"/>
      <c r="F23" s="26"/>
    </row>
    <row r="24" spans="1:6" x14ac:dyDescent="0.3">
      <c r="A24" s="25" t="s">
        <v>129</v>
      </c>
      <c r="B24" s="26"/>
      <c r="C24" s="26"/>
      <c r="D24" s="26"/>
      <c r="E24" s="26"/>
      <c r="F24" s="26"/>
    </row>
    <row r="25" spans="1:6" x14ac:dyDescent="0.3">
      <c r="A25" s="25" t="s">
        <v>130</v>
      </c>
      <c r="B25" s="26"/>
      <c r="C25" s="26"/>
      <c r="D25" s="26"/>
      <c r="E25" s="26"/>
      <c r="F25" s="26"/>
    </row>
    <row r="26" spans="1:6" x14ac:dyDescent="0.3">
      <c r="A26" s="25" t="s">
        <v>131</v>
      </c>
      <c r="B26" s="26"/>
      <c r="C26" s="26"/>
      <c r="D26" s="26"/>
      <c r="E26" s="26"/>
      <c r="F26" s="26"/>
    </row>
    <row r="27" spans="1:6" x14ac:dyDescent="0.3">
      <c r="A27" s="25" t="s">
        <v>132</v>
      </c>
      <c r="B27" s="26"/>
      <c r="C27" s="26"/>
      <c r="D27" s="26"/>
      <c r="E27" s="26"/>
      <c r="F27" s="26"/>
    </row>
    <row r="28" spans="1:6" x14ac:dyDescent="0.3">
      <c r="A28" s="25" t="s">
        <v>133</v>
      </c>
      <c r="B28" s="26"/>
      <c r="C28" s="26"/>
      <c r="D28" s="26"/>
      <c r="E28" s="26"/>
      <c r="F28" s="26"/>
    </row>
    <row r="29" spans="1:6" x14ac:dyDescent="0.3">
      <c r="A29" s="25" t="s">
        <v>134</v>
      </c>
      <c r="B29" s="26"/>
      <c r="C29" s="26"/>
      <c r="D29" s="26"/>
      <c r="E29" s="26"/>
      <c r="F29" s="26"/>
    </row>
    <row r="30" spans="1:6" x14ac:dyDescent="0.3">
      <c r="A30" s="25"/>
      <c r="B30" s="25"/>
      <c r="C30" s="25"/>
      <c r="D30" s="25"/>
      <c r="E30" s="25"/>
      <c r="F30" s="25"/>
    </row>
    <row r="31" spans="1:6" x14ac:dyDescent="0.3">
      <c r="A31" s="101" t="s">
        <v>135</v>
      </c>
      <c r="B31" s="101"/>
      <c r="C31" s="101"/>
      <c r="D31" s="101"/>
      <c r="E31" s="101"/>
      <c r="F31" s="101"/>
    </row>
    <row r="32" spans="1:6" x14ac:dyDescent="0.3">
      <c r="A32" s="27" t="s">
        <v>107</v>
      </c>
      <c r="B32" s="27" t="s">
        <v>108</v>
      </c>
      <c r="C32" s="27" t="s">
        <v>109</v>
      </c>
      <c r="D32" s="27" t="s">
        <v>110</v>
      </c>
      <c r="E32" s="27" t="s">
        <v>111</v>
      </c>
      <c r="F32" s="27" t="s">
        <v>112</v>
      </c>
    </row>
    <row r="33" spans="1:6" x14ac:dyDescent="0.3">
      <c r="A33" s="25" t="s">
        <v>122</v>
      </c>
      <c r="B33" s="26"/>
      <c r="C33" s="26"/>
      <c r="D33" s="26"/>
      <c r="E33" s="26"/>
      <c r="F33" s="26"/>
    </row>
    <row r="34" spans="1:6" x14ac:dyDescent="0.3">
      <c r="A34" s="25" t="s">
        <v>118</v>
      </c>
      <c r="B34" s="26"/>
      <c r="C34" s="26"/>
      <c r="D34" s="26"/>
      <c r="E34" s="26"/>
      <c r="F34" s="26"/>
    </row>
    <row r="35" spans="1:6" x14ac:dyDescent="0.3">
      <c r="A35" s="25" t="s">
        <v>136</v>
      </c>
      <c r="B35" s="26"/>
      <c r="C35" s="26"/>
      <c r="D35" s="26"/>
      <c r="E35" s="26"/>
      <c r="F35" s="26"/>
    </row>
    <row r="36" spans="1:6" x14ac:dyDescent="0.3">
      <c r="A36" s="25" t="s">
        <v>137</v>
      </c>
      <c r="B36" s="26"/>
      <c r="C36" s="26"/>
      <c r="D36" s="26"/>
      <c r="E36" s="26"/>
      <c r="F36" s="26"/>
    </row>
    <row r="37" spans="1:6" x14ac:dyDescent="0.3">
      <c r="A37" s="25" t="s">
        <v>138</v>
      </c>
      <c r="B37" s="26"/>
      <c r="C37" s="26"/>
      <c r="D37" s="26"/>
      <c r="E37" s="26"/>
      <c r="F37" s="26"/>
    </row>
  </sheetData>
  <mergeCells count="4">
    <mergeCell ref="A1:F1"/>
    <mergeCell ref="A3:F3"/>
    <mergeCell ref="A16:F16"/>
    <mergeCell ref="A31:F3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8360-1737-49FF-8271-9B1EB47170E0}">
  <dimension ref="A1:F37"/>
  <sheetViews>
    <sheetView workbookViewId="0">
      <selection sqref="A1:F1"/>
    </sheetView>
  </sheetViews>
  <sheetFormatPr defaultRowHeight="14.4" x14ac:dyDescent="0.3"/>
  <cols>
    <col min="1" max="1" width="21.44140625" bestFit="1" customWidth="1"/>
    <col min="2" max="6" width="6.109375" bestFit="1" customWidth="1"/>
  </cols>
  <sheetData>
    <row r="1" spans="1:6" x14ac:dyDescent="0.3">
      <c r="A1" s="100" t="s">
        <v>442</v>
      </c>
      <c r="B1" s="100"/>
      <c r="C1" s="100"/>
      <c r="D1" s="100"/>
      <c r="E1" s="100"/>
      <c r="F1" s="100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101" t="s">
        <v>106</v>
      </c>
      <c r="B3" s="101"/>
      <c r="C3" s="101"/>
      <c r="D3" s="101"/>
      <c r="E3" s="101"/>
      <c r="F3" s="101"/>
    </row>
    <row r="4" spans="1:6" x14ac:dyDescent="0.3">
      <c r="A4" s="27" t="s">
        <v>107</v>
      </c>
      <c r="B4" s="27" t="s">
        <v>108</v>
      </c>
      <c r="C4" s="27" t="s">
        <v>109</v>
      </c>
      <c r="D4" s="27" t="s">
        <v>110</v>
      </c>
      <c r="E4" s="27" t="s">
        <v>111</v>
      </c>
      <c r="F4" s="27" t="s">
        <v>112</v>
      </c>
    </row>
    <row r="5" spans="1:6" x14ac:dyDescent="0.3">
      <c r="A5" s="25" t="s">
        <v>113</v>
      </c>
      <c r="B5" s="26"/>
      <c r="C5" s="26"/>
      <c r="D5" s="26"/>
      <c r="E5" s="26"/>
      <c r="F5" s="26"/>
    </row>
    <row r="6" spans="1:6" x14ac:dyDescent="0.3">
      <c r="A6" s="25" t="s">
        <v>114</v>
      </c>
      <c r="B6" s="26"/>
      <c r="C6" s="26"/>
      <c r="D6" s="26"/>
      <c r="E6" s="26"/>
      <c r="F6" s="26"/>
    </row>
    <row r="7" spans="1:6" x14ac:dyDescent="0.3">
      <c r="A7" s="25" t="s">
        <v>115</v>
      </c>
      <c r="B7" s="26"/>
      <c r="C7" s="26"/>
      <c r="D7" s="26"/>
      <c r="E7" s="26"/>
      <c r="F7" s="26"/>
    </row>
    <row r="8" spans="1:6" x14ac:dyDescent="0.3">
      <c r="A8" s="25" t="s">
        <v>116</v>
      </c>
      <c r="B8" s="26"/>
      <c r="C8" s="26"/>
      <c r="D8" s="26"/>
      <c r="E8" s="26"/>
      <c r="F8" s="26"/>
    </row>
    <row r="9" spans="1:6" x14ac:dyDescent="0.3">
      <c r="A9" s="25" t="s">
        <v>117</v>
      </c>
      <c r="B9" s="26"/>
      <c r="C9" s="26"/>
      <c r="D9" s="26"/>
      <c r="E9" s="26"/>
      <c r="F9" s="26"/>
    </row>
    <row r="10" spans="1:6" x14ac:dyDescent="0.3">
      <c r="A10" s="25" t="s">
        <v>118</v>
      </c>
      <c r="B10" s="26"/>
      <c r="C10" s="26"/>
      <c r="D10" s="26"/>
      <c r="E10" s="26"/>
      <c r="F10" s="26"/>
    </row>
    <row r="11" spans="1:6" x14ac:dyDescent="0.3">
      <c r="A11" s="25" t="s">
        <v>119</v>
      </c>
      <c r="B11" s="26"/>
      <c r="C11" s="26"/>
      <c r="D11" s="26"/>
      <c r="E11" s="26"/>
      <c r="F11" s="26"/>
    </row>
    <row r="12" spans="1:6" x14ac:dyDescent="0.3">
      <c r="A12" s="25" t="s">
        <v>120</v>
      </c>
      <c r="B12" s="26"/>
      <c r="C12" s="26"/>
      <c r="D12" s="26"/>
      <c r="E12" s="26"/>
      <c r="F12" s="26"/>
    </row>
    <row r="13" spans="1:6" x14ac:dyDescent="0.3">
      <c r="A13" s="25" t="s">
        <v>121</v>
      </c>
      <c r="B13" s="26"/>
      <c r="C13" s="26"/>
      <c r="D13" s="26"/>
      <c r="E13" s="26"/>
      <c r="F13" s="26"/>
    </row>
    <row r="14" spans="1:6" x14ac:dyDescent="0.3">
      <c r="A14" s="25" t="s">
        <v>122</v>
      </c>
      <c r="B14" s="26"/>
      <c r="C14" s="26"/>
      <c r="D14" s="26"/>
      <c r="E14" s="26"/>
      <c r="F14" s="26"/>
    </row>
    <row r="15" spans="1:6" x14ac:dyDescent="0.3">
      <c r="A15" s="25"/>
      <c r="B15" s="25"/>
      <c r="C15" s="25"/>
      <c r="D15" s="25"/>
      <c r="E15" s="25"/>
      <c r="F15" s="25"/>
    </row>
    <row r="16" spans="1:6" x14ac:dyDescent="0.3">
      <c r="A16" s="101" t="s">
        <v>123</v>
      </c>
      <c r="B16" s="101"/>
      <c r="C16" s="101"/>
      <c r="D16" s="101"/>
      <c r="E16" s="101"/>
      <c r="F16" s="101"/>
    </row>
    <row r="17" spans="1:6" x14ac:dyDescent="0.3">
      <c r="A17" s="27" t="s">
        <v>107</v>
      </c>
      <c r="B17" s="27" t="s">
        <v>108</v>
      </c>
      <c r="C17" s="27" t="s">
        <v>109</v>
      </c>
      <c r="D17" s="27" t="s">
        <v>110</v>
      </c>
      <c r="E17" s="27" t="s">
        <v>111</v>
      </c>
      <c r="F17" s="27" t="s">
        <v>112</v>
      </c>
    </row>
    <row r="18" spans="1:6" x14ac:dyDescent="0.3">
      <c r="A18" s="25" t="s">
        <v>38</v>
      </c>
      <c r="B18" s="26"/>
      <c r="C18" s="26"/>
      <c r="D18" s="26"/>
      <c r="E18" s="26"/>
      <c r="F18" s="26"/>
    </row>
    <row r="19" spans="1:6" x14ac:dyDescent="0.3">
      <c r="A19" s="25" t="s">
        <v>124</v>
      </c>
      <c r="B19" s="26"/>
      <c r="C19" s="26"/>
      <c r="D19" s="26"/>
      <c r="E19" s="26"/>
      <c r="F19" s="26"/>
    </row>
    <row r="20" spans="1:6" x14ac:dyDescent="0.3">
      <c r="A20" s="25" t="s">
        <v>125</v>
      </c>
      <c r="B20" s="26"/>
      <c r="C20" s="26"/>
      <c r="D20" s="26"/>
      <c r="E20" s="26"/>
      <c r="F20" s="26"/>
    </row>
    <row r="21" spans="1:6" x14ac:dyDescent="0.3">
      <c r="A21" s="25" t="s">
        <v>126</v>
      </c>
      <c r="B21" s="26"/>
      <c r="C21" s="26"/>
      <c r="D21" s="26"/>
      <c r="E21" s="26"/>
      <c r="F21" s="26"/>
    </row>
    <row r="22" spans="1:6" x14ac:dyDescent="0.3">
      <c r="A22" s="25" t="s">
        <v>127</v>
      </c>
      <c r="B22" s="26"/>
      <c r="C22" s="26"/>
      <c r="D22" s="26"/>
      <c r="E22" s="26"/>
      <c r="F22" s="26"/>
    </row>
    <row r="23" spans="1:6" x14ac:dyDescent="0.3">
      <c r="A23" s="25" t="s">
        <v>128</v>
      </c>
      <c r="B23" s="26"/>
      <c r="C23" s="26"/>
      <c r="D23" s="26"/>
      <c r="E23" s="26"/>
      <c r="F23" s="26"/>
    </row>
    <row r="24" spans="1:6" x14ac:dyDescent="0.3">
      <c r="A24" s="25" t="s">
        <v>129</v>
      </c>
      <c r="B24" s="26"/>
      <c r="C24" s="26"/>
      <c r="D24" s="26"/>
      <c r="E24" s="26"/>
      <c r="F24" s="26"/>
    </row>
    <row r="25" spans="1:6" x14ac:dyDescent="0.3">
      <c r="A25" s="25" t="s">
        <v>130</v>
      </c>
      <c r="B25" s="26"/>
      <c r="C25" s="26"/>
      <c r="D25" s="26"/>
      <c r="E25" s="26"/>
      <c r="F25" s="26"/>
    </row>
    <row r="26" spans="1:6" x14ac:dyDescent="0.3">
      <c r="A26" s="25" t="s">
        <v>131</v>
      </c>
      <c r="B26" s="26"/>
      <c r="C26" s="26"/>
      <c r="D26" s="26"/>
      <c r="E26" s="26"/>
      <c r="F26" s="26"/>
    </row>
    <row r="27" spans="1:6" x14ac:dyDescent="0.3">
      <c r="A27" s="25" t="s">
        <v>132</v>
      </c>
      <c r="B27" s="26"/>
      <c r="C27" s="26"/>
      <c r="D27" s="26"/>
      <c r="E27" s="26"/>
      <c r="F27" s="26"/>
    </row>
    <row r="28" spans="1:6" x14ac:dyDescent="0.3">
      <c r="A28" s="25" t="s">
        <v>133</v>
      </c>
      <c r="B28" s="26"/>
      <c r="C28" s="26"/>
      <c r="D28" s="26"/>
      <c r="E28" s="26"/>
      <c r="F28" s="26"/>
    </row>
    <row r="29" spans="1:6" x14ac:dyDescent="0.3">
      <c r="A29" s="25" t="s">
        <v>134</v>
      </c>
      <c r="B29" s="26"/>
      <c r="C29" s="26"/>
      <c r="D29" s="26"/>
      <c r="E29" s="26"/>
      <c r="F29" s="26"/>
    </row>
    <row r="30" spans="1:6" x14ac:dyDescent="0.3">
      <c r="A30" s="25"/>
      <c r="B30" s="25"/>
      <c r="C30" s="25"/>
      <c r="D30" s="25"/>
      <c r="E30" s="25"/>
      <c r="F30" s="25"/>
    </row>
    <row r="31" spans="1:6" x14ac:dyDescent="0.3">
      <c r="A31" s="101" t="s">
        <v>135</v>
      </c>
      <c r="B31" s="101"/>
      <c r="C31" s="101"/>
      <c r="D31" s="101"/>
      <c r="E31" s="101"/>
      <c r="F31" s="101"/>
    </row>
    <row r="32" spans="1:6" x14ac:dyDescent="0.3">
      <c r="A32" s="27" t="s">
        <v>107</v>
      </c>
      <c r="B32" s="27" t="s">
        <v>108</v>
      </c>
      <c r="C32" s="27" t="s">
        <v>109</v>
      </c>
      <c r="D32" s="27" t="s">
        <v>110</v>
      </c>
      <c r="E32" s="27" t="s">
        <v>111</v>
      </c>
      <c r="F32" s="27" t="s">
        <v>112</v>
      </c>
    </row>
    <row r="33" spans="1:6" x14ac:dyDescent="0.3">
      <c r="A33" s="25" t="s">
        <v>122</v>
      </c>
      <c r="B33" s="26"/>
      <c r="C33" s="26"/>
      <c r="D33" s="26"/>
      <c r="E33" s="26"/>
      <c r="F33" s="26"/>
    </row>
    <row r="34" spans="1:6" x14ac:dyDescent="0.3">
      <c r="A34" s="25" t="s">
        <v>118</v>
      </c>
      <c r="B34" s="26"/>
      <c r="C34" s="26"/>
      <c r="D34" s="26"/>
      <c r="E34" s="26"/>
      <c r="F34" s="26"/>
    </row>
    <row r="35" spans="1:6" x14ac:dyDescent="0.3">
      <c r="A35" s="25" t="s">
        <v>136</v>
      </c>
      <c r="B35" s="26"/>
      <c r="C35" s="26"/>
      <c r="D35" s="26"/>
      <c r="E35" s="26"/>
      <c r="F35" s="26"/>
    </row>
    <row r="36" spans="1:6" x14ac:dyDescent="0.3">
      <c r="A36" s="25" t="s">
        <v>137</v>
      </c>
      <c r="B36" s="26"/>
      <c r="C36" s="26"/>
      <c r="D36" s="26"/>
      <c r="E36" s="26"/>
      <c r="F36" s="26"/>
    </row>
    <row r="37" spans="1:6" x14ac:dyDescent="0.3">
      <c r="A37" s="25" t="s">
        <v>138</v>
      </c>
      <c r="B37" s="26"/>
      <c r="C37" s="26"/>
      <c r="D37" s="26"/>
      <c r="E37" s="26"/>
      <c r="F37" s="26"/>
    </row>
  </sheetData>
  <mergeCells count="4">
    <mergeCell ref="A1:F1"/>
    <mergeCell ref="A3:F3"/>
    <mergeCell ref="A16:F16"/>
    <mergeCell ref="A31:F3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F37C-F705-4421-86AC-D822A9FD26E0}">
  <dimension ref="A1:K80"/>
  <sheetViews>
    <sheetView workbookViewId="0"/>
  </sheetViews>
  <sheetFormatPr defaultRowHeight="14.4" x14ac:dyDescent="0.3"/>
  <cols>
    <col min="1" max="1" width="34.6640625" bestFit="1" customWidth="1"/>
    <col min="2" max="2" width="7.6640625" bestFit="1" customWidth="1"/>
    <col min="3" max="3" width="11.5546875" bestFit="1" customWidth="1"/>
    <col min="4" max="4" width="8.44140625" bestFit="1" customWidth="1"/>
    <col min="5" max="5" width="21.88671875" bestFit="1" customWidth="1"/>
    <col min="6" max="7" width="10.33203125" bestFit="1" customWidth="1"/>
    <col min="8" max="8" width="18" bestFit="1" customWidth="1"/>
    <col min="9" max="9" width="22.44140625" bestFit="1" customWidth="1"/>
    <col min="10" max="10" width="20.33203125" bestFit="1" customWidth="1"/>
    <col min="11" max="11" width="39.44140625" bestFit="1" customWidth="1"/>
  </cols>
  <sheetData>
    <row r="1" spans="1:11" x14ac:dyDescent="0.3">
      <c r="A1" s="31" t="s">
        <v>443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x14ac:dyDescent="0.3">
      <c r="A3" s="42" t="s">
        <v>444</v>
      </c>
      <c r="B3" s="42" t="s">
        <v>84</v>
      </c>
      <c r="C3" s="42" t="s">
        <v>445</v>
      </c>
      <c r="D3" s="42" t="s">
        <v>85</v>
      </c>
      <c r="E3" s="42" t="s">
        <v>446</v>
      </c>
      <c r="F3" s="42" t="s">
        <v>447</v>
      </c>
      <c r="G3" s="42" t="s">
        <v>87</v>
      </c>
      <c r="H3" s="42" t="s">
        <v>88</v>
      </c>
      <c r="I3" s="42" t="s">
        <v>89</v>
      </c>
      <c r="J3" s="42" t="s">
        <v>448</v>
      </c>
      <c r="K3" s="42" t="s">
        <v>384</v>
      </c>
    </row>
    <row r="4" spans="1:11" x14ac:dyDescent="0.3">
      <c r="A4" s="50" t="s">
        <v>449</v>
      </c>
      <c r="B4" s="50" t="s">
        <v>74</v>
      </c>
      <c r="C4" s="50" t="s">
        <v>6</v>
      </c>
      <c r="D4" s="50" t="s">
        <v>17</v>
      </c>
      <c r="E4" s="44">
        <f t="shared" ref="E4:E35" ca="1" si="0">EOMONTH(TODAY(),-1)</f>
        <v>46142</v>
      </c>
      <c r="F4" s="45"/>
      <c r="G4" s="50"/>
      <c r="H4" s="50" t="str">
        <f t="shared" ref="H4:H35" si="1">IF(OR(F4="",G4=""),"","Yes")</f>
        <v/>
      </c>
      <c r="I4" s="43"/>
      <c r="J4" s="50" t="s">
        <v>450</v>
      </c>
      <c r="K4" s="50" t="str">
        <f t="shared" ref="K4:K35" si="2">IF(OR(A4="Local 10-Year Government Bond Yield",A4="Local Market Risk Premium",A4="Local Corporate Bond Yield"),IF(OR(C4="",D4=""),"WARNING: Missing Country/Currency Data",IF(F4="","WARNING: Rate Missing — Fallback Value Used","")),IF(F4="","WARNING: Rate Missing — Fallback Value Used",""))</f>
        <v>WARNING: Rate Missing — Fallback Value Used</v>
      </c>
    </row>
    <row r="5" spans="1:11" x14ac:dyDescent="0.3">
      <c r="A5" s="50" t="s">
        <v>451</v>
      </c>
      <c r="B5" s="50" t="s">
        <v>74</v>
      </c>
      <c r="C5" s="50" t="s">
        <v>6</v>
      </c>
      <c r="D5" s="50" t="s">
        <v>17</v>
      </c>
      <c r="E5" s="44">
        <f t="shared" ca="1" si="0"/>
        <v>46142</v>
      </c>
      <c r="F5" s="45"/>
      <c r="G5" s="50"/>
      <c r="H5" s="50" t="str">
        <f t="shared" si="1"/>
        <v/>
      </c>
      <c r="I5" s="43"/>
      <c r="J5" s="50" t="s">
        <v>452</v>
      </c>
      <c r="K5" s="50" t="str">
        <f t="shared" si="2"/>
        <v>WARNING: Rate Missing — Fallback Value Used</v>
      </c>
    </row>
    <row r="6" spans="1:11" x14ac:dyDescent="0.3">
      <c r="A6" s="50" t="s">
        <v>453</v>
      </c>
      <c r="B6" s="50" t="s">
        <v>74</v>
      </c>
      <c r="C6" s="50" t="s">
        <v>6</v>
      </c>
      <c r="D6" s="50" t="s">
        <v>17</v>
      </c>
      <c r="E6" s="44">
        <f t="shared" ca="1" si="0"/>
        <v>46142</v>
      </c>
      <c r="F6" s="45"/>
      <c r="G6" s="50"/>
      <c r="H6" s="50" t="str">
        <f t="shared" si="1"/>
        <v/>
      </c>
      <c r="I6" s="43"/>
      <c r="J6" s="50" t="s">
        <v>454</v>
      </c>
      <c r="K6" s="50" t="str">
        <f t="shared" si="2"/>
        <v>WARNING: Rate Missing — Fallback Value Used</v>
      </c>
    </row>
    <row r="7" spans="1:11" x14ac:dyDescent="0.3">
      <c r="A7" s="50" t="s">
        <v>193</v>
      </c>
      <c r="B7" s="50" t="s">
        <v>74</v>
      </c>
      <c r="C7" s="50" t="s">
        <v>6</v>
      </c>
      <c r="D7" s="50" t="s">
        <v>17</v>
      </c>
      <c r="E7" s="44">
        <f t="shared" ca="1" si="0"/>
        <v>46142</v>
      </c>
      <c r="F7" s="45"/>
      <c r="G7" s="50"/>
      <c r="H7" s="50" t="str">
        <f t="shared" si="1"/>
        <v/>
      </c>
      <c r="I7" s="43"/>
      <c r="J7" s="50" t="s">
        <v>452</v>
      </c>
      <c r="K7" s="50" t="str">
        <f t="shared" si="2"/>
        <v>WARNING: Rate Missing — Fallback Value Used</v>
      </c>
    </row>
    <row r="8" spans="1:11" x14ac:dyDescent="0.3">
      <c r="A8" s="50" t="s">
        <v>455</v>
      </c>
      <c r="B8" s="50" t="s">
        <v>74</v>
      </c>
      <c r="C8" s="50" t="str">
        <f>IF(Entity_Ownership!F4="","",Entity_Ownership!F4)</f>
        <v/>
      </c>
      <c r="D8" s="50" t="str">
        <f>IF(Entity_Ownership!G4="","",Entity_Ownership!G4)</f>
        <v/>
      </c>
      <c r="E8" s="44">
        <f t="shared" ca="1" si="0"/>
        <v>46142</v>
      </c>
      <c r="F8" s="45"/>
      <c r="G8" s="50"/>
      <c r="H8" s="50" t="str">
        <f t="shared" si="1"/>
        <v/>
      </c>
      <c r="I8" s="43"/>
      <c r="J8" s="50" t="s">
        <v>450</v>
      </c>
      <c r="K8" s="50" t="str">
        <f t="shared" si="2"/>
        <v>WARNING: Missing Country/Currency Data</v>
      </c>
    </row>
    <row r="9" spans="1:11" x14ac:dyDescent="0.3">
      <c r="A9" s="50" t="s">
        <v>456</v>
      </c>
      <c r="B9" s="50" t="s">
        <v>74</v>
      </c>
      <c r="C9" s="50" t="str">
        <f>IF(Entity_Ownership!F4="","",Entity_Ownership!F4)</f>
        <v/>
      </c>
      <c r="D9" s="50" t="str">
        <f>IF(Entity_Ownership!G4="","",Entity_Ownership!G4)</f>
        <v/>
      </c>
      <c r="E9" s="44">
        <f t="shared" ca="1" si="0"/>
        <v>46142</v>
      </c>
      <c r="F9" s="45"/>
      <c r="G9" s="50"/>
      <c r="H9" s="50" t="str">
        <f t="shared" si="1"/>
        <v/>
      </c>
      <c r="I9" s="43"/>
      <c r="J9" s="50" t="s">
        <v>452</v>
      </c>
      <c r="K9" s="50" t="str">
        <f t="shared" si="2"/>
        <v>WARNING: Missing Country/Currency Data</v>
      </c>
    </row>
    <row r="10" spans="1:11" x14ac:dyDescent="0.3">
      <c r="A10" s="50" t="s">
        <v>457</v>
      </c>
      <c r="B10" s="50" t="s">
        <v>74</v>
      </c>
      <c r="C10" s="50" t="str">
        <f>IF(Entity_Ownership!F4="","",Entity_Ownership!F4)</f>
        <v/>
      </c>
      <c r="D10" s="50" t="str">
        <f>IF(Entity_Ownership!G4="","",Entity_Ownership!G4)</f>
        <v/>
      </c>
      <c r="E10" s="44">
        <f t="shared" ca="1" si="0"/>
        <v>46142</v>
      </c>
      <c r="F10" s="45"/>
      <c r="G10" s="50"/>
      <c r="H10" s="50" t="str">
        <f t="shared" si="1"/>
        <v/>
      </c>
      <c r="I10" s="43"/>
      <c r="J10" s="50" t="s">
        <v>454</v>
      </c>
      <c r="K10" s="50" t="str">
        <f t="shared" si="2"/>
        <v>WARNING: Missing Country/Currency Data</v>
      </c>
    </row>
    <row r="11" spans="1:11" x14ac:dyDescent="0.3">
      <c r="A11" s="50" t="s">
        <v>449</v>
      </c>
      <c r="B11" s="50" t="s">
        <v>75</v>
      </c>
      <c r="C11" s="50" t="s">
        <v>6</v>
      </c>
      <c r="D11" s="50" t="s">
        <v>17</v>
      </c>
      <c r="E11" s="44">
        <f t="shared" ca="1" si="0"/>
        <v>46142</v>
      </c>
      <c r="F11" s="45"/>
      <c r="G11" s="50"/>
      <c r="H11" s="50" t="str">
        <f t="shared" si="1"/>
        <v/>
      </c>
      <c r="I11" s="43"/>
      <c r="J11" s="50" t="s">
        <v>450</v>
      </c>
      <c r="K11" s="50" t="str">
        <f t="shared" si="2"/>
        <v>WARNING: Rate Missing — Fallback Value Used</v>
      </c>
    </row>
    <row r="12" spans="1:11" x14ac:dyDescent="0.3">
      <c r="A12" s="50" t="s">
        <v>451</v>
      </c>
      <c r="B12" s="50" t="s">
        <v>75</v>
      </c>
      <c r="C12" s="50" t="s">
        <v>6</v>
      </c>
      <c r="D12" s="50" t="s">
        <v>17</v>
      </c>
      <c r="E12" s="44">
        <f t="shared" ca="1" si="0"/>
        <v>46142</v>
      </c>
      <c r="F12" s="45"/>
      <c r="G12" s="50"/>
      <c r="H12" s="50" t="str">
        <f t="shared" si="1"/>
        <v/>
      </c>
      <c r="I12" s="43"/>
      <c r="J12" s="50" t="s">
        <v>452</v>
      </c>
      <c r="K12" s="50" t="str">
        <f t="shared" si="2"/>
        <v>WARNING: Rate Missing — Fallback Value Used</v>
      </c>
    </row>
    <row r="13" spans="1:11" x14ac:dyDescent="0.3">
      <c r="A13" s="50" t="s">
        <v>453</v>
      </c>
      <c r="B13" s="50" t="s">
        <v>75</v>
      </c>
      <c r="C13" s="50" t="s">
        <v>6</v>
      </c>
      <c r="D13" s="50" t="s">
        <v>17</v>
      </c>
      <c r="E13" s="44">
        <f t="shared" ca="1" si="0"/>
        <v>46142</v>
      </c>
      <c r="F13" s="45"/>
      <c r="G13" s="50"/>
      <c r="H13" s="50" t="str">
        <f t="shared" si="1"/>
        <v/>
      </c>
      <c r="I13" s="43"/>
      <c r="J13" s="50" t="s">
        <v>454</v>
      </c>
      <c r="K13" s="50" t="str">
        <f t="shared" si="2"/>
        <v>WARNING: Rate Missing — Fallback Value Used</v>
      </c>
    </row>
    <row r="14" spans="1:11" x14ac:dyDescent="0.3">
      <c r="A14" s="50" t="s">
        <v>193</v>
      </c>
      <c r="B14" s="50" t="s">
        <v>75</v>
      </c>
      <c r="C14" s="50" t="s">
        <v>6</v>
      </c>
      <c r="D14" s="50" t="s">
        <v>17</v>
      </c>
      <c r="E14" s="44">
        <f t="shared" ca="1" si="0"/>
        <v>46142</v>
      </c>
      <c r="F14" s="45"/>
      <c r="G14" s="50"/>
      <c r="H14" s="50" t="str">
        <f t="shared" si="1"/>
        <v/>
      </c>
      <c r="I14" s="43"/>
      <c r="J14" s="50" t="s">
        <v>452</v>
      </c>
      <c r="K14" s="50" t="str">
        <f t="shared" si="2"/>
        <v>WARNING: Rate Missing — Fallback Value Used</v>
      </c>
    </row>
    <row r="15" spans="1:11" x14ac:dyDescent="0.3">
      <c r="A15" s="50" t="s">
        <v>455</v>
      </c>
      <c r="B15" s="50" t="s">
        <v>75</v>
      </c>
      <c r="C15" s="50" t="str">
        <f>IF(Entity_Ownership!F5="","",Entity_Ownership!F5)</f>
        <v/>
      </c>
      <c r="D15" s="50" t="str">
        <f>IF(Entity_Ownership!G5="","",Entity_Ownership!G5)</f>
        <v/>
      </c>
      <c r="E15" s="44">
        <f t="shared" ca="1" si="0"/>
        <v>46142</v>
      </c>
      <c r="F15" s="45"/>
      <c r="G15" s="50"/>
      <c r="H15" s="50" t="str">
        <f t="shared" si="1"/>
        <v/>
      </c>
      <c r="I15" s="43"/>
      <c r="J15" s="50" t="s">
        <v>450</v>
      </c>
      <c r="K15" s="50" t="str">
        <f t="shared" si="2"/>
        <v>WARNING: Missing Country/Currency Data</v>
      </c>
    </row>
    <row r="16" spans="1:11" x14ac:dyDescent="0.3">
      <c r="A16" s="50" t="s">
        <v>456</v>
      </c>
      <c r="B16" s="50" t="s">
        <v>75</v>
      </c>
      <c r="C16" s="50" t="str">
        <f>IF(Entity_Ownership!F5="","",Entity_Ownership!F5)</f>
        <v/>
      </c>
      <c r="D16" s="50" t="str">
        <f>IF(Entity_Ownership!G5="","",Entity_Ownership!G5)</f>
        <v/>
      </c>
      <c r="E16" s="44">
        <f t="shared" ca="1" si="0"/>
        <v>46142</v>
      </c>
      <c r="F16" s="45"/>
      <c r="G16" s="50"/>
      <c r="H16" s="50" t="str">
        <f t="shared" si="1"/>
        <v/>
      </c>
      <c r="I16" s="43"/>
      <c r="J16" s="50" t="s">
        <v>452</v>
      </c>
      <c r="K16" s="50" t="str">
        <f t="shared" si="2"/>
        <v>WARNING: Missing Country/Currency Data</v>
      </c>
    </row>
    <row r="17" spans="1:11" x14ac:dyDescent="0.3">
      <c r="A17" s="50" t="s">
        <v>457</v>
      </c>
      <c r="B17" s="50" t="s">
        <v>75</v>
      </c>
      <c r="C17" s="50" t="str">
        <f>IF(Entity_Ownership!F5="","",Entity_Ownership!F5)</f>
        <v/>
      </c>
      <c r="D17" s="50" t="str">
        <f>IF(Entity_Ownership!G5="","",Entity_Ownership!G5)</f>
        <v/>
      </c>
      <c r="E17" s="44">
        <f t="shared" ca="1" si="0"/>
        <v>46142</v>
      </c>
      <c r="F17" s="45"/>
      <c r="G17" s="50"/>
      <c r="H17" s="50" t="str">
        <f t="shared" si="1"/>
        <v/>
      </c>
      <c r="I17" s="43"/>
      <c r="J17" s="50" t="s">
        <v>454</v>
      </c>
      <c r="K17" s="50" t="str">
        <f t="shared" si="2"/>
        <v>WARNING: Missing Country/Currency Data</v>
      </c>
    </row>
    <row r="18" spans="1:11" x14ac:dyDescent="0.3">
      <c r="A18" s="50" t="s">
        <v>449</v>
      </c>
      <c r="B18" s="50" t="s">
        <v>76</v>
      </c>
      <c r="C18" s="50" t="s">
        <v>6</v>
      </c>
      <c r="D18" s="50" t="s">
        <v>17</v>
      </c>
      <c r="E18" s="44">
        <f t="shared" ca="1" si="0"/>
        <v>46142</v>
      </c>
      <c r="F18" s="45"/>
      <c r="G18" s="50"/>
      <c r="H18" s="50" t="str">
        <f t="shared" si="1"/>
        <v/>
      </c>
      <c r="I18" s="43"/>
      <c r="J18" s="50" t="s">
        <v>450</v>
      </c>
      <c r="K18" s="50" t="str">
        <f t="shared" si="2"/>
        <v>WARNING: Rate Missing — Fallback Value Used</v>
      </c>
    </row>
    <row r="19" spans="1:11" x14ac:dyDescent="0.3">
      <c r="A19" s="50" t="s">
        <v>451</v>
      </c>
      <c r="B19" s="50" t="s">
        <v>76</v>
      </c>
      <c r="C19" s="50" t="s">
        <v>6</v>
      </c>
      <c r="D19" s="50" t="s">
        <v>17</v>
      </c>
      <c r="E19" s="44">
        <f t="shared" ca="1" si="0"/>
        <v>46142</v>
      </c>
      <c r="F19" s="45"/>
      <c r="G19" s="50"/>
      <c r="H19" s="50" t="str">
        <f t="shared" si="1"/>
        <v/>
      </c>
      <c r="I19" s="43"/>
      <c r="J19" s="50" t="s">
        <v>452</v>
      </c>
      <c r="K19" s="50" t="str">
        <f t="shared" si="2"/>
        <v>WARNING: Rate Missing — Fallback Value Used</v>
      </c>
    </row>
    <row r="20" spans="1:11" x14ac:dyDescent="0.3">
      <c r="A20" s="50" t="s">
        <v>453</v>
      </c>
      <c r="B20" s="50" t="s">
        <v>76</v>
      </c>
      <c r="C20" s="50" t="s">
        <v>6</v>
      </c>
      <c r="D20" s="50" t="s">
        <v>17</v>
      </c>
      <c r="E20" s="44">
        <f t="shared" ca="1" si="0"/>
        <v>46142</v>
      </c>
      <c r="F20" s="45"/>
      <c r="G20" s="50"/>
      <c r="H20" s="50" t="str">
        <f t="shared" si="1"/>
        <v/>
      </c>
      <c r="I20" s="43"/>
      <c r="J20" s="50" t="s">
        <v>454</v>
      </c>
      <c r="K20" s="50" t="str">
        <f t="shared" si="2"/>
        <v>WARNING: Rate Missing — Fallback Value Used</v>
      </c>
    </row>
    <row r="21" spans="1:11" x14ac:dyDescent="0.3">
      <c r="A21" s="50" t="s">
        <v>193</v>
      </c>
      <c r="B21" s="50" t="s">
        <v>76</v>
      </c>
      <c r="C21" s="50" t="s">
        <v>6</v>
      </c>
      <c r="D21" s="50" t="s">
        <v>17</v>
      </c>
      <c r="E21" s="44">
        <f t="shared" ca="1" si="0"/>
        <v>46142</v>
      </c>
      <c r="F21" s="45"/>
      <c r="G21" s="50"/>
      <c r="H21" s="50" t="str">
        <f t="shared" si="1"/>
        <v/>
      </c>
      <c r="I21" s="43"/>
      <c r="J21" s="50" t="s">
        <v>452</v>
      </c>
      <c r="K21" s="50" t="str">
        <f t="shared" si="2"/>
        <v>WARNING: Rate Missing — Fallback Value Used</v>
      </c>
    </row>
    <row r="22" spans="1:11" x14ac:dyDescent="0.3">
      <c r="A22" s="50" t="s">
        <v>455</v>
      </c>
      <c r="B22" s="50" t="s">
        <v>76</v>
      </c>
      <c r="C22" s="50" t="str">
        <f>IF(Entity_Ownership!F6="","",Entity_Ownership!F6)</f>
        <v/>
      </c>
      <c r="D22" s="50" t="str">
        <f>IF(Entity_Ownership!G6="","",Entity_Ownership!G6)</f>
        <v/>
      </c>
      <c r="E22" s="44">
        <f t="shared" ca="1" si="0"/>
        <v>46142</v>
      </c>
      <c r="F22" s="45"/>
      <c r="G22" s="50"/>
      <c r="H22" s="50" t="str">
        <f t="shared" si="1"/>
        <v/>
      </c>
      <c r="I22" s="43"/>
      <c r="J22" s="50" t="s">
        <v>450</v>
      </c>
      <c r="K22" s="50" t="str">
        <f t="shared" si="2"/>
        <v>WARNING: Missing Country/Currency Data</v>
      </c>
    </row>
    <row r="23" spans="1:11" x14ac:dyDescent="0.3">
      <c r="A23" s="50" t="s">
        <v>456</v>
      </c>
      <c r="B23" s="50" t="s">
        <v>76</v>
      </c>
      <c r="C23" s="50" t="str">
        <f>IF(Entity_Ownership!F6="","",Entity_Ownership!F6)</f>
        <v/>
      </c>
      <c r="D23" s="50" t="str">
        <f>IF(Entity_Ownership!G6="","",Entity_Ownership!G6)</f>
        <v/>
      </c>
      <c r="E23" s="44">
        <f t="shared" ca="1" si="0"/>
        <v>46142</v>
      </c>
      <c r="F23" s="45"/>
      <c r="G23" s="50"/>
      <c r="H23" s="50" t="str">
        <f t="shared" si="1"/>
        <v/>
      </c>
      <c r="I23" s="43"/>
      <c r="J23" s="50" t="s">
        <v>452</v>
      </c>
      <c r="K23" s="50" t="str">
        <f t="shared" si="2"/>
        <v>WARNING: Missing Country/Currency Data</v>
      </c>
    </row>
    <row r="24" spans="1:11" x14ac:dyDescent="0.3">
      <c r="A24" s="50" t="s">
        <v>457</v>
      </c>
      <c r="B24" s="50" t="s">
        <v>76</v>
      </c>
      <c r="C24" s="50" t="str">
        <f>IF(Entity_Ownership!F6="","",Entity_Ownership!F6)</f>
        <v/>
      </c>
      <c r="D24" s="50" t="str">
        <f>IF(Entity_Ownership!G6="","",Entity_Ownership!G6)</f>
        <v/>
      </c>
      <c r="E24" s="44">
        <f t="shared" ca="1" si="0"/>
        <v>46142</v>
      </c>
      <c r="F24" s="45"/>
      <c r="G24" s="50"/>
      <c r="H24" s="50" t="str">
        <f t="shared" si="1"/>
        <v/>
      </c>
      <c r="I24" s="43"/>
      <c r="J24" s="50" t="s">
        <v>454</v>
      </c>
      <c r="K24" s="50" t="str">
        <f t="shared" si="2"/>
        <v>WARNING: Missing Country/Currency Data</v>
      </c>
    </row>
    <row r="25" spans="1:11" x14ac:dyDescent="0.3">
      <c r="A25" s="50" t="s">
        <v>449</v>
      </c>
      <c r="B25" s="50" t="s">
        <v>77</v>
      </c>
      <c r="C25" s="50" t="s">
        <v>6</v>
      </c>
      <c r="D25" s="50" t="s">
        <v>17</v>
      </c>
      <c r="E25" s="44">
        <f t="shared" ca="1" si="0"/>
        <v>46142</v>
      </c>
      <c r="F25" s="45"/>
      <c r="G25" s="50"/>
      <c r="H25" s="50" t="str">
        <f t="shared" si="1"/>
        <v/>
      </c>
      <c r="I25" s="43"/>
      <c r="J25" s="50" t="s">
        <v>450</v>
      </c>
      <c r="K25" s="50" t="str">
        <f t="shared" si="2"/>
        <v>WARNING: Rate Missing — Fallback Value Used</v>
      </c>
    </row>
    <row r="26" spans="1:11" x14ac:dyDescent="0.3">
      <c r="A26" s="50" t="s">
        <v>451</v>
      </c>
      <c r="B26" s="50" t="s">
        <v>77</v>
      </c>
      <c r="C26" s="50" t="s">
        <v>6</v>
      </c>
      <c r="D26" s="50" t="s">
        <v>17</v>
      </c>
      <c r="E26" s="44">
        <f t="shared" ca="1" si="0"/>
        <v>46142</v>
      </c>
      <c r="F26" s="45"/>
      <c r="G26" s="50"/>
      <c r="H26" s="50" t="str">
        <f t="shared" si="1"/>
        <v/>
      </c>
      <c r="I26" s="43"/>
      <c r="J26" s="50" t="s">
        <v>452</v>
      </c>
      <c r="K26" s="50" t="str">
        <f t="shared" si="2"/>
        <v>WARNING: Rate Missing — Fallback Value Used</v>
      </c>
    </row>
    <row r="27" spans="1:11" x14ac:dyDescent="0.3">
      <c r="A27" s="50" t="s">
        <v>453</v>
      </c>
      <c r="B27" s="50" t="s">
        <v>77</v>
      </c>
      <c r="C27" s="50" t="s">
        <v>6</v>
      </c>
      <c r="D27" s="50" t="s">
        <v>17</v>
      </c>
      <c r="E27" s="44">
        <f t="shared" ca="1" si="0"/>
        <v>46142</v>
      </c>
      <c r="F27" s="45"/>
      <c r="G27" s="50"/>
      <c r="H27" s="50" t="str">
        <f t="shared" si="1"/>
        <v/>
      </c>
      <c r="I27" s="43"/>
      <c r="J27" s="50" t="s">
        <v>454</v>
      </c>
      <c r="K27" s="50" t="str">
        <f t="shared" si="2"/>
        <v>WARNING: Rate Missing — Fallback Value Used</v>
      </c>
    </row>
    <row r="28" spans="1:11" x14ac:dyDescent="0.3">
      <c r="A28" s="50" t="s">
        <v>193</v>
      </c>
      <c r="B28" s="50" t="s">
        <v>77</v>
      </c>
      <c r="C28" s="50" t="s">
        <v>6</v>
      </c>
      <c r="D28" s="50" t="s">
        <v>17</v>
      </c>
      <c r="E28" s="44">
        <f t="shared" ca="1" si="0"/>
        <v>46142</v>
      </c>
      <c r="F28" s="45"/>
      <c r="G28" s="50"/>
      <c r="H28" s="50" t="str">
        <f t="shared" si="1"/>
        <v/>
      </c>
      <c r="I28" s="43"/>
      <c r="J28" s="50" t="s">
        <v>452</v>
      </c>
      <c r="K28" s="50" t="str">
        <f t="shared" si="2"/>
        <v>WARNING: Rate Missing — Fallback Value Used</v>
      </c>
    </row>
    <row r="29" spans="1:11" x14ac:dyDescent="0.3">
      <c r="A29" s="50" t="s">
        <v>455</v>
      </c>
      <c r="B29" s="50" t="s">
        <v>77</v>
      </c>
      <c r="C29" s="50" t="str">
        <f>IF(Entity_Ownership!F7="","",Entity_Ownership!F7)</f>
        <v/>
      </c>
      <c r="D29" s="50" t="str">
        <f>IF(Entity_Ownership!G7="","",Entity_Ownership!G7)</f>
        <v/>
      </c>
      <c r="E29" s="44">
        <f t="shared" ca="1" si="0"/>
        <v>46142</v>
      </c>
      <c r="F29" s="45"/>
      <c r="G29" s="50"/>
      <c r="H29" s="50" t="str">
        <f t="shared" si="1"/>
        <v/>
      </c>
      <c r="I29" s="43"/>
      <c r="J29" s="50" t="s">
        <v>450</v>
      </c>
      <c r="K29" s="50" t="str">
        <f t="shared" si="2"/>
        <v>WARNING: Missing Country/Currency Data</v>
      </c>
    </row>
    <row r="30" spans="1:11" x14ac:dyDescent="0.3">
      <c r="A30" s="50" t="s">
        <v>456</v>
      </c>
      <c r="B30" s="50" t="s">
        <v>77</v>
      </c>
      <c r="C30" s="50" t="str">
        <f>IF(Entity_Ownership!F7="","",Entity_Ownership!F7)</f>
        <v/>
      </c>
      <c r="D30" s="50" t="str">
        <f>IF(Entity_Ownership!G7="","",Entity_Ownership!G7)</f>
        <v/>
      </c>
      <c r="E30" s="44">
        <f t="shared" ca="1" si="0"/>
        <v>46142</v>
      </c>
      <c r="F30" s="45"/>
      <c r="G30" s="50"/>
      <c r="H30" s="50" t="str">
        <f t="shared" si="1"/>
        <v/>
      </c>
      <c r="I30" s="43"/>
      <c r="J30" s="50" t="s">
        <v>452</v>
      </c>
      <c r="K30" s="50" t="str">
        <f t="shared" si="2"/>
        <v>WARNING: Missing Country/Currency Data</v>
      </c>
    </row>
    <row r="31" spans="1:11" x14ac:dyDescent="0.3">
      <c r="A31" s="50" t="s">
        <v>457</v>
      </c>
      <c r="B31" s="50" t="s">
        <v>77</v>
      </c>
      <c r="C31" s="50" t="str">
        <f>IF(Entity_Ownership!F7="","",Entity_Ownership!F7)</f>
        <v/>
      </c>
      <c r="D31" s="50" t="str">
        <f>IF(Entity_Ownership!G7="","",Entity_Ownership!G7)</f>
        <v/>
      </c>
      <c r="E31" s="44">
        <f t="shared" ca="1" si="0"/>
        <v>46142</v>
      </c>
      <c r="F31" s="45"/>
      <c r="G31" s="50"/>
      <c r="H31" s="50" t="str">
        <f t="shared" si="1"/>
        <v/>
      </c>
      <c r="I31" s="43"/>
      <c r="J31" s="50" t="s">
        <v>454</v>
      </c>
      <c r="K31" s="50" t="str">
        <f t="shared" si="2"/>
        <v>WARNING: Missing Country/Currency Data</v>
      </c>
    </row>
    <row r="32" spans="1:11" x14ac:dyDescent="0.3">
      <c r="A32" s="50" t="s">
        <v>449</v>
      </c>
      <c r="B32" s="50" t="s">
        <v>78</v>
      </c>
      <c r="C32" s="50" t="s">
        <v>6</v>
      </c>
      <c r="D32" s="50" t="s">
        <v>17</v>
      </c>
      <c r="E32" s="44">
        <f t="shared" ca="1" si="0"/>
        <v>46142</v>
      </c>
      <c r="F32" s="45"/>
      <c r="G32" s="50"/>
      <c r="H32" s="50" t="str">
        <f t="shared" si="1"/>
        <v/>
      </c>
      <c r="I32" s="43"/>
      <c r="J32" s="50" t="s">
        <v>450</v>
      </c>
      <c r="K32" s="50" t="str">
        <f t="shared" si="2"/>
        <v>WARNING: Rate Missing — Fallback Value Used</v>
      </c>
    </row>
    <row r="33" spans="1:11" x14ac:dyDescent="0.3">
      <c r="A33" s="50" t="s">
        <v>451</v>
      </c>
      <c r="B33" s="50" t="s">
        <v>78</v>
      </c>
      <c r="C33" s="50" t="s">
        <v>6</v>
      </c>
      <c r="D33" s="50" t="s">
        <v>17</v>
      </c>
      <c r="E33" s="44">
        <f t="shared" ca="1" si="0"/>
        <v>46142</v>
      </c>
      <c r="F33" s="45"/>
      <c r="G33" s="50"/>
      <c r="H33" s="50" t="str">
        <f t="shared" si="1"/>
        <v/>
      </c>
      <c r="I33" s="43"/>
      <c r="J33" s="50" t="s">
        <v>452</v>
      </c>
      <c r="K33" s="50" t="str">
        <f t="shared" si="2"/>
        <v>WARNING: Rate Missing — Fallback Value Used</v>
      </c>
    </row>
    <row r="34" spans="1:11" x14ac:dyDescent="0.3">
      <c r="A34" s="50" t="s">
        <v>453</v>
      </c>
      <c r="B34" s="50" t="s">
        <v>78</v>
      </c>
      <c r="C34" s="50" t="s">
        <v>6</v>
      </c>
      <c r="D34" s="50" t="s">
        <v>17</v>
      </c>
      <c r="E34" s="44">
        <f t="shared" ca="1" si="0"/>
        <v>46142</v>
      </c>
      <c r="F34" s="45"/>
      <c r="G34" s="50"/>
      <c r="H34" s="50" t="str">
        <f t="shared" si="1"/>
        <v/>
      </c>
      <c r="I34" s="43"/>
      <c r="J34" s="50" t="s">
        <v>454</v>
      </c>
      <c r="K34" s="50" t="str">
        <f t="shared" si="2"/>
        <v>WARNING: Rate Missing — Fallback Value Used</v>
      </c>
    </row>
    <row r="35" spans="1:11" x14ac:dyDescent="0.3">
      <c r="A35" s="50" t="s">
        <v>193</v>
      </c>
      <c r="B35" s="50" t="s">
        <v>78</v>
      </c>
      <c r="C35" s="50" t="s">
        <v>6</v>
      </c>
      <c r="D35" s="50" t="s">
        <v>17</v>
      </c>
      <c r="E35" s="44">
        <f t="shared" ca="1" si="0"/>
        <v>46142</v>
      </c>
      <c r="F35" s="45"/>
      <c r="G35" s="50"/>
      <c r="H35" s="50" t="str">
        <f t="shared" si="1"/>
        <v/>
      </c>
      <c r="I35" s="43"/>
      <c r="J35" s="50" t="s">
        <v>452</v>
      </c>
      <c r="K35" s="50" t="str">
        <f t="shared" si="2"/>
        <v>WARNING: Rate Missing — Fallback Value Used</v>
      </c>
    </row>
    <row r="36" spans="1:11" x14ac:dyDescent="0.3">
      <c r="A36" s="50" t="s">
        <v>455</v>
      </c>
      <c r="B36" s="50" t="s">
        <v>78</v>
      </c>
      <c r="C36" s="50" t="str">
        <f>IF(Entity_Ownership!F8="","",Entity_Ownership!F8)</f>
        <v/>
      </c>
      <c r="D36" s="50" t="str">
        <f>IF(Entity_Ownership!G8="","",Entity_Ownership!G8)</f>
        <v/>
      </c>
      <c r="E36" s="44">
        <f t="shared" ref="E36:E67" ca="1" si="3">EOMONTH(TODAY(),-1)</f>
        <v>46142</v>
      </c>
      <c r="F36" s="45"/>
      <c r="G36" s="50"/>
      <c r="H36" s="50" t="str">
        <f t="shared" ref="H36:H67" si="4">IF(OR(F36="",G36=""),"","Yes")</f>
        <v/>
      </c>
      <c r="I36" s="43"/>
      <c r="J36" s="50" t="s">
        <v>450</v>
      </c>
      <c r="K36" s="50" t="str">
        <f t="shared" ref="K36:K67" si="5">IF(OR(A36="Local 10-Year Government Bond Yield",A36="Local Market Risk Premium",A36="Local Corporate Bond Yield"),IF(OR(C36="",D36=""),"WARNING: Missing Country/Currency Data",IF(F36="","WARNING: Rate Missing — Fallback Value Used","")),IF(F36="","WARNING: Rate Missing — Fallback Value Used",""))</f>
        <v>WARNING: Missing Country/Currency Data</v>
      </c>
    </row>
    <row r="37" spans="1:11" x14ac:dyDescent="0.3">
      <c r="A37" s="50" t="s">
        <v>456</v>
      </c>
      <c r="B37" s="50" t="s">
        <v>78</v>
      </c>
      <c r="C37" s="50" t="str">
        <f>IF(Entity_Ownership!F8="","",Entity_Ownership!F8)</f>
        <v/>
      </c>
      <c r="D37" s="50" t="str">
        <f>IF(Entity_Ownership!G8="","",Entity_Ownership!G8)</f>
        <v/>
      </c>
      <c r="E37" s="44">
        <f t="shared" ca="1" si="3"/>
        <v>46142</v>
      </c>
      <c r="F37" s="45"/>
      <c r="G37" s="50"/>
      <c r="H37" s="50" t="str">
        <f t="shared" si="4"/>
        <v/>
      </c>
      <c r="I37" s="43"/>
      <c r="J37" s="50" t="s">
        <v>452</v>
      </c>
      <c r="K37" s="50" t="str">
        <f t="shared" si="5"/>
        <v>WARNING: Missing Country/Currency Data</v>
      </c>
    </row>
    <row r="38" spans="1:11" x14ac:dyDescent="0.3">
      <c r="A38" s="50" t="s">
        <v>457</v>
      </c>
      <c r="B38" s="50" t="s">
        <v>78</v>
      </c>
      <c r="C38" s="50" t="str">
        <f>IF(Entity_Ownership!F8="","",Entity_Ownership!F8)</f>
        <v/>
      </c>
      <c r="D38" s="50" t="str">
        <f>IF(Entity_Ownership!G8="","",Entity_Ownership!G8)</f>
        <v/>
      </c>
      <c r="E38" s="44">
        <f t="shared" ca="1" si="3"/>
        <v>46142</v>
      </c>
      <c r="F38" s="45"/>
      <c r="G38" s="50"/>
      <c r="H38" s="50" t="str">
        <f t="shared" si="4"/>
        <v/>
      </c>
      <c r="I38" s="43"/>
      <c r="J38" s="50" t="s">
        <v>454</v>
      </c>
      <c r="K38" s="50" t="str">
        <f t="shared" si="5"/>
        <v>WARNING: Missing Country/Currency Data</v>
      </c>
    </row>
    <row r="39" spans="1:11" x14ac:dyDescent="0.3">
      <c r="A39" s="50" t="s">
        <v>449</v>
      </c>
      <c r="B39" s="50" t="s">
        <v>79</v>
      </c>
      <c r="C39" s="50" t="s">
        <v>6</v>
      </c>
      <c r="D39" s="50" t="s">
        <v>17</v>
      </c>
      <c r="E39" s="44">
        <f t="shared" ca="1" si="3"/>
        <v>46142</v>
      </c>
      <c r="F39" s="45"/>
      <c r="G39" s="50"/>
      <c r="H39" s="50" t="str">
        <f t="shared" si="4"/>
        <v/>
      </c>
      <c r="I39" s="43"/>
      <c r="J39" s="50" t="s">
        <v>450</v>
      </c>
      <c r="K39" s="50" t="str">
        <f t="shared" si="5"/>
        <v>WARNING: Rate Missing — Fallback Value Used</v>
      </c>
    </row>
    <row r="40" spans="1:11" x14ac:dyDescent="0.3">
      <c r="A40" s="50" t="s">
        <v>451</v>
      </c>
      <c r="B40" s="50" t="s">
        <v>79</v>
      </c>
      <c r="C40" s="50" t="s">
        <v>6</v>
      </c>
      <c r="D40" s="50" t="s">
        <v>17</v>
      </c>
      <c r="E40" s="44">
        <f t="shared" ca="1" si="3"/>
        <v>46142</v>
      </c>
      <c r="F40" s="45"/>
      <c r="G40" s="50"/>
      <c r="H40" s="50" t="str">
        <f t="shared" si="4"/>
        <v/>
      </c>
      <c r="I40" s="43"/>
      <c r="J40" s="50" t="s">
        <v>452</v>
      </c>
      <c r="K40" s="50" t="str">
        <f t="shared" si="5"/>
        <v>WARNING: Rate Missing — Fallback Value Used</v>
      </c>
    </row>
    <row r="41" spans="1:11" x14ac:dyDescent="0.3">
      <c r="A41" s="50" t="s">
        <v>453</v>
      </c>
      <c r="B41" s="50" t="s">
        <v>79</v>
      </c>
      <c r="C41" s="50" t="s">
        <v>6</v>
      </c>
      <c r="D41" s="50" t="s">
        <v>17</v>
      </c>
      <c r="E41" s="44">
        <f t="shared" ca="1" si="3"/>
        <v>46142</v>
      </c>
      <c r="F41" s="45"/>
      <c r="G41" s="50"/>
      <c r="H41" s="50" t="str">
        <f t="shared" si="4"/>
        <v/>
      </c>
      <c r="I41" s="43"/>
      <c r="J41" s="50" t="s">
        <v>454</v>
      </c>
      <c r="K41" s="50" t="str">
        <f t="shared" si="5"/>
        <v>WARNING: Rate Missing — Fallback Value Used</v>
      </c>
    </row>
    <row r="42" spans="1:11" x14ac:dyDescent="0.3">
      <c r="A42" s="50" t="s">
        <v>193</v>
      </c>
      <c r="B42" s="50" t="s">
        <v>79</v>
      </c>
      <c r="C42" s="50" t="s">
        <v>6</v>
      </c>
      <c r="D42" s="50" t="s">
        <v>17</v>
      </c>
      <c r="E42" s="44">
        <f t="shared" ca="1" si="3"/>
        <v>46142</v>
      </c>
      <c r="F42" s="45"/>
      <c r="G42" s="50"/>
      <c r="H42" s="50" t="str">
        <f t="shared" si="4"/>
        <v/>
      </c>
      <c r="I42" s="43"/>
      <c r="J42" s="50" t="s">
        <v>452</v>
      </c>
      <c r="K42" s="50" t="str">
        <f t="shared" si="5"/>
        <v>WARNING: Rate Missing — Fallback Value Used</v>
      </c>
    </row>
    <row r="43" spans="1:11" x14ac:dyDescent="0.3">
      <c r="A43" s="50" t="s">
        <v>455</v>
      </c>
      <c r="B43" s="50" t="s">
        <v>79</v>
      </c>
      <c r="C43" s="50" t="str">
        <f>IF(Entity_Ownership!F9="","",Entity_Ownership!F9)</f>
        <v/>
      </c>
      <c r="D43" s="50" t="str">
        <f>IF(Entity_Ownership!G9="","",Entity_Ownership!G9)</f>
        <v/>
      </c>
      <c r="E43" s="44">
        <f t="shared" ca="1" si="3"/>
        <v>46142</v>
      </c>
      <c r="F43" s="45"/>
      <c r="G43" s="50"/>
      <c r="H43" s="50" t="str">
        <f t="shared" si="4"/>
        <v/>
      </c>
      <c r="I43" s="43"/>
      <c r="J43" s="50" t="s">
        <v>450</v>
      </c>
      <c r="K43" s="50" t="str">
        <f t="shared" si="5"/>
        <v>WARNING: Missing Country/Currency Data</v>
      </c>
    </row>
    <row r="44" spans="1:11" x14ac:dyDescent="0.3">
      <c r="A44" s="50" t="s">
        <v>456</v>
      </c>
      <c r="B44" s="50" t="s">
        <v>79</v>
      </c>
      <c r="C44" s="50" t="str">
        <f>IF(Entity_Ownership!F9="","",Entity_Ownership!F9)</f>
        <v/>
      </c>
      <c r="D44" s="50" t="str">
        <f>IF(Entity_Ownership!G9="","",Entity_Ownership!G9)</f>
        <v/>
      </c>
      <c r="E44" s="44">
        <f t="shared" ca="1" si="3"/>
        <v>46142</v>
      </c>
      <c r="F44" s="45"/>
      <c r="G44" s="50"/>
      <c r="H44" s="50" t="str">
        <f t="shared" si="4"/>
        <v/>
      </c>
      <c r="I44" s="43"/>
      <c r="J44" s="50" t="s">
        <v>452</v>
      </c>
      <c r="K44" s="50" t="str">
        <f t="shared" si="5"/>
        <v>WARNING: Missing Country/Currency Data</v>
      </c>
    </row>
    <row r="45" spans="1:11" x14ac:dyDescent="0.3">
      <c r="A45" s="50" t="s">
        <v>457</v>
      </c>
      <c r="B45" s="50" t="s">
        <v>79</v>
      </c>
      <c r="C45" s="50" t="str">
        <f>IF(Entity_Ownership!F9="","",Entity_Ownership!F9)</f>
        <v/>
      </c>
      <c r="D45" s="50" t="str">
        <f>IF(Entity_Ownership!G9="","",Entity_Ownership!G9)</f>
        <v/>
      </c>
      <c r="E45" s="44">
        <f t="shared" ca="1" si="3"/>
        <v>46142</v>
      </c>
      <c r="F45" s="45"/>
      <c r="G45" s="50"/>
      <c r="H45" s="50" t="str">
        <f t="shared" si="4"/>
        <v/>
      </c>
      <c r="I45" s="43"/>
      <c r="J45" s="50" t="s">
        <v>454</v>
      </c>
      <c r="K45" s="50" t="str">
        <f t="shared" si="5"/>
        <v>WARNING: Missing Country/Currency Data</v>
      </c>
    </row>
    <row r="46" spans="1:11" x14ac:dyDescent="0.3">
      <c r="A46" s="50" t="s">
        <v>449</v>
      </c>
      <c r="B46" s="50" t="s">
        <v>80</v>
      </c>
      <c r="C46" s="50" t="s">
        <v>6</v>
      </c>
      <c r="D46" s="50" t="s">
        <v>17</v>
      </c>
      <c r="E46" s="44">
        <f t="shared" ca="1" si="3"/>
        <v>46142</v>
      </c>
      <c r="F46" s="45"/>
      <c r="G46" s="50"/>
      <c r="H46" s="50" t="str">
        <f t="shared" si="4"/>
        <v/>
      </c>
      <c r="I46" s="43"/>
      <c r="J46" s="50" t="s">
        <v>450</v>
      </c>
      <c r="K46" s="50" t="str">
        <f t="shared" si="5"/>
        <v>WARNING: Rate Missing — Fallback Value Used</v>
      </c>
    </row>
    <row r="47" spans="1:11" x14ac:dyDescent="0.3">
      <c r="A47" s="50" t="s">
        <v>451</v>
      </c>
      <c r="B47" s="50" t="s">
        <v>80</v>
      </c>
      <c r="C47" s="50" t="s">
        <v>6</v>
      </c>
      <c r="D47" s="50" t="s">
        <v>17</v>
      </c>
      <c r="E47" s="44">
        <f t="shared" ca="1" si="3"/>
        <v>46142</v>
      </c>
      <c r="F47" s="45"/>
      <c r="G47" s="50"/>
      <c r="H47" s="50" t="str">
        <f t="shared" si="4"/>
        <v/>
      </c>
      <c r="I47" s="43"/>
      <c r="J47" s="50" t="s">
        <v>452</v>
      </c>
      <c r="K47" s="50" t="str">
        <f t="shared" si="5"/>
        <v>WARNING: Rate Missing — Fallback Value Used</v>
      </c>
    </row>
    <row r="48" spans="1:11" x14ac:dyDescent="0.3">
      <c r="A48" s="50" t="s">
        <v>453</v>
      </c>
      <c r="B48" s="50" t="s">
        <v>80</v>
      </c>
      <c r="C48" s="50" t="s">
        <v>6</v>
      </c>
      <c r="D48" s="50" t="s">
        <v>17</v>
      </c>
      <c r="E48" s="44">
        <f t="shared" ca="1" si="3"/>
        <v>46142</v>
      </c>
      <c r="F48" s="45"/>
      <c r="G48" s="50"/>
      <c r="H48" s="50" t="str">
        <f t="shared" si="4"/>
        <v/>
      </c>
      <c r="I48" s="43"/>
      <c r="J48" s="50" t="s">
        <v>454</v>
      </c>
      <c r="K48" s="50" t="str">
        <f t="shared" si="5"/>
        <v>WARNING: Rate Missing — Fallback Value Used</v>
      </c>
    </row>
    <row r="49" spans="1:11" x14ac:dyDescent="0.3">
      <c r="A49" s="50" t="s">
        <v>193</v>
      </c>
      <c r="B49" s="50" t="s">
        <v>80</v>
      </c>
      <c r="C49" s="50" t="s">
        <v>6</v>
      </c>
      <c r="D49" s="50" t="s">
        <v>17</v>
      </c>
      <c r="E49" s="44">
        <f t="shared" ca="1" si="3"/>
        <v>46142</v>
      </c>
      <c r="F49" s="45"/>
      <c r="G49" s="50"/>
      <c r="H49" s="50" t="str">
        <f t="shared" si="4"/>
        <v/>
      </c>
      <c r="I49" s="43"/>
      <c r="J49" s="50" t="s">
        <v>452</v>
      </c>
      <c r="K49" s="50" t="str">
        <f t="shared" si="5"/>
        <v>WARNING: Rate Missing — Fallback Value Used</v>
      </c>
    </row>
    <row r="50" spans="1:11" x14ac:dyDescent="0.3">
      <c r="A50" s="50" t="s">
        <v>455</v>
      </c>
      <c r="B50" s="50" t="s">
        <v>80</v>
      </c>
      <c r="C50" s="50" t="str">
        <f>IF(Entity_Ownership!F10="","",Entity_Ownership!F10)</f>
        <v/>
      </c>
      <c r="D50" s="50" t="str">
        <f>IF(Entity_Ownership!G10="","",Entity_Ownership!G10)</f>
        <v/>
      </c>
      <c r="E50" s="44">
        <f t="shared" ca="1" si="3"/>
        <v>46142</v>
      </c>
      <c r="F50" s="45"/>
      <c r="G50" s="50"/>
      <c r="H50" s="50" t="str">
        <f t="shared" si="4"/>
        <v/>
      </c>
      <c r="I50" s="43"/>
      <c r="J50" s="50" t="s">
        <v>450</v>
      </c>
      <c r="K50" s="50" t="str">
        <f t="shared" si="5"/>
        <v>WARNING: Missing Country/Currency Data</v>
      </c>
    </row>
    <row r="51" spans="1:11" x14ac:dyDescent="0.3">
      <c r="A51" s="50" t="s">
        <v>456</v>
      </c>
      <c r="B51" s="50" t="s">
        <v>80</v>
      </c>
      <c r="C51" s="50" t="str">
        <f>IF(Entity_Ownership!F10="","",Entity_Ownership!F10)</f>
        <v/>
      </c>
      <c r="D51" s="50" t="str">
        <f>IF(Entity_Ownership!G10="","",Entity_Ownership!G10)</f>
        <v/>
      </c>
      <c r="E51" s="44">
        <f t="shared" ca="1" si="3"/>
        <v>46142</v>
      </c>
      <c r="F51" s="45"/>
      <c r="G51" s="50"/>
      <c r="H51" s="50" t="str">
        <f t="shared" si="4"/>
        <v/>
      </c>
      <c r="I51" s="43"/>
      <c r="J51" s="50" t="s">
        <v>452</v>
      </c>
      <c r="K51" s="50" t="str">
        <f t="shared" si="5"/>
        <v>WARNING: Missing Country/Currency Data</v>
      </c>
    </row>
    <row r="52" spans="1:11" x14ac:dyDescent="0.3">
      <c r="A52" s="50" t="s">
        <v>457</v>
      </c>
      <c r="B52" s="50" t="s">
        <v>80</v>
      </c>
      <c r="C52" s="50" t="str">
        <f>IF(Entity_Ownership!F10="","",Entity_Ownership!F10)</f>
        <v/>
      </c>
      <c r="D52" s="50" t="str">
        <f>IF(Entity_Ownership!G10="","",Entity_Ownership!G10)</f>
        <v/>
      </c>
      <c r="E52" s="44">
        <f t="shared" ca="1" si="3"/>
        <v>46142</v>
      </c>
      <c r="F52" s="45"/>
      <c r="G52" s="50"/>
      <c r="H52" s="50" t="str">
        <f t="shared" si="4"/>
        <v/>
      </c>
      <c r="I52" s="43"/>
      <c r="J52" s="50" t="s">
        <v>454</v>
      </c>
      <c r="K52" s="50" t="str">
        <f t="shared" si="5"/>
        <v>WARNING: Missing Country/Currency Data</v>
      </c>
    </row>
    <row r="53" spans="1:11" x14ac:dyDescent="0.3">
      <c r="A53" s="50" t="s">
        <v>449</v>
      </c>
      <c r="B53" s="50" t="s">
        <v>81</v>
      </c>
      <c r="C53" s="50" t="s">
        <v>6</v>
      </c>
      <c r="D53" s="50" t="s">
        <v>17</v>
      </c>
      <c r="E53" s="44">
        <f t="shared" ca="1" si="3"/>
        <v>46142</v>
      </c>
      <c r="F53" s="45"/>
      <c r="G53" s="50"/>
      <c r="H53" s="50" t="str">
        <f t="shared" si="4"/>
        <v/>
      </c>
      <c r="I53" s="43"/>
      <c r="J53" s="50" t="s">
        <v>450</v>
      </c>
      <c r="K53" s="50" t="str">
        <f t="shared" si="5"/>
        <v>WARNING: Rate Missing — Fallback Value Used</v>
      </c>
    </row>
    <row r="54" spans="1:11" x14ac:dyDescent="0.3">
      <c r="A54" s="50" t="s">
        <v>451</v>
      </c>
      <c r="B54" s="50" t="s">
        <v>81</v>
      </c>
      <c r="C54" s="50" t="s">
        <v>6</v>
      </c>
      <c r="D54" s="50" t="s">
        <v>17</v>
      </c>
      <c r="E54" s="44">
        <f t="shared" ca="1" si="3"/>
        <v>46142</v>
      </c>
      <c r="F54" s="45"/>
      <c r="G54" s="50"/>
      <c r="H54" s="50" t="str">
        <f t="shared" si="4"/>
        <v/>
      </c>
      <c r="I54" s="43"/>
      <c r="J54" s="50" t="s">
        <v>452</v>
      </c>
      <c r="K54" s="50" t="str">
        <f t="shared" si="5"/>
        <v>WARNING: Rate Missing — Fallback Value Used</v>
      </c>
    </row>
    <row r="55" spans="1:11" x14ac:dyDescent="0.3">
      <c r="A55" s="50" t="s">
        <v>453</v>
      </c>
      <c r="B55" s="50" t="s">
        <v>81</v>
      </c>
      <c r="C55" s="50" t="s">
        <v>6</v>
      </c>
      <c r="D55" s="50" t="s">
        <v>17</v>
      </c>
      <c r="E55" s="44">
        <f t="shared" ca="1" si="3"/>
        <v>46142</v>
      </c>
      <c r="F55" s="45"/>
      <c r="G55" s="50"/>
      <c r="H55" s="50" t="str">
        <f t="shared" si="4"/>
        <v/>
      </c>
      <c r="I55" s="43"/>
      <c r="J55" s="50" t="s">
        <v>454</v>
      </c>
      <c r="K55" s="50" t="str">
        <f t="shared" si="5"/>
        <v>WARNING: Rate Missing — Fallback Value Used</v>
      </c>
    </row>
    <row r="56" spans="1:11" x14ac:dyDescent="0.3">
      <c r="A56" s="50" t="s">
        <v>193</v>
      </c>
      <c r="B56" s="50" t="s">
        <v>81</v>
      </c>
      <c r="C56" s="50" t="s">
        <v>6</v>
      </c>
      <c r="D56" s="50" t="s">
        <v>17</v>
      </c>
      <c r="E56" s="44">
        <f t="shared" ca="1" si="3"/>
        <v>46142</v>
      </c>
      <c r="F56" s="45"/>
      <c r="G56" s="50"/>
      <c r="H56" s="50" t="str">
        <f t="shared" si="4"/>
        <v/>
      </c>
      <c r="I56" s="43"/>
      <c r="J56" s="50" t="s">
        <v>452</v>
      </c>
      <c r="K56" s="50" t="str">
        <f t="shared" si="5"/>
        <v>WARNING: Rate Missing — Fallback Value Used</v>
      </c>
    </row>
    <row r="57" spans="1:11" x14ac:dyDescent="0.3">
      <c r="A57" s="50" t="s">
        <v>455</v>
      </c>
      <c r="B57" s="50" t="s">
        <v>81</v>
      </c>
      <c r="C57" s="50" t="str">
        <f>IF(Entity_Ownership!F11="","",Entity_Ownership!F11)</f>
        <v/>
      </c>
      <c r="D57" s="50" t="str">
        <f>IF(Entity_Ownership!G11="","",Entity_Ownership!G11)</f>
        <v/>
      </c>
      <c r="E57" s="44">
        <f t="shared" ca="1" si="3"/>
        <v>46142</v>
      </c>
      <c r="F57" s="45"/>
      <c r="G57" s="50"/>
      <c r="H57" s="50" t="str">
        <f t="shared" si="4"/>
        <v/>
      </c>
      <c r="I57" s="43"/>
      <c r="J57" s="50" t="s">
        <v>450</v>
      </c>
      <c r="K57" s="50" t="str">
        <f t="shared" si="5"/>
        <v>WARNING: Missing Country/Currency Data</v>
      </c>
    </row>
    <row r="58" spans="1:11" x14ac:dyDescent="0.3">
      <c r="A58" s="50" t="s">
        <v>456</v>
      </c>
      <c r="B58" s="50" t="s">
        <v>81</v>
      </c>
      <c r="C58" s="50" t="str">
        <f>IF(Entity_Ownership!F11="","",Entity_Ownership!F11)</f>
        <v/>
      </c>
      <c r="D58" s="50" t="str">
        <f>IF(Entity_Ownership!G11="","",Entity_Ownership!G11)</f>
        <v/>
      </c>
      <c r="E58" s="44">
        <f t="shared" ca="1" si="3"/>
        <v>46142</v>
      </c>
      <c r="F58" s="45"/>
      <c r="G58" s="50"/>
      <c r="H58" s="50" t="str">
        <f t="shared" si="4"/>
        <v/>
      </c>
      <c r="I58" s="43"/>
      <c r="J58" s="50" t="s">
        <v>452</v>
      </c>
      <c r="K58" s="50" t="str">
        <f t="shared" si="5"/>
        <v>WARNING: Missing Country/Currency Data</v>
      </c>
    </row>
    <row r="59" spans="1:11" x14ac:dyDescent="0.3">
      <c r="A59" s="50" t="s">
        <v>457</v>
      </c>
      <c r="B59" s="50" t="s">
        <v>81</v>
      </c>
      <c r="C59" s="50" t="str">
        <f>IF(Entity_Ownership!F11="","",Entity_Ownership!F11)</f>
        <v/>
      </c>
      <c r="D59" s="50" t="str">
        <f>IF(Entity_Ownership!G11="","",Entity_Ownership!G11)</f>
        <v/>
      </c>
      <c r="E59" s="44">
        <f t="shared" ca="1" si="3"/>
        <v>46142</v>
      </c>
      <c r="F59" s="45"/>
      <c r="G59" s="50"/>
      <c r="H59" s="50" t="str">
        <f t="shared" si="4"/>
        <v/>
      </c>
      <c r="I59" s="43"/>
      <c r="J59" s="50" t="s">
        <v>454</v>
      </c>
      <c r="K59" s="50" t="str">
        <f t="shared" si="5"/>
        <v>WARNING: Missing Country/Currency Data</v>
      </c>
    </row>
    <row r="60" spans="1:11" x14ac:dyDescent="0.3">
      <c r="A60" s="50" t="s">
        <v>449</v>
      </c>
      <c r="B60" s="50" t="s">
        <v>97</v>
      </c>
      <c r="C60" s="50" t="s">
        <v>6</v>
      </c>
      <c r="D60" s="50" t="s">
        <v>17</v>
      </c>
      <c r="E60" s="44">
        <f t="shared" ca="1" si="3"/>
        <v>46142</v>
      </c>
      <c r="F60" s="45"/>
      <c r="G60" s="50"/>
      <c r="H60" s="50" t="str">
        <f t="shared" si="4"/>
        <v/>
      </c>
      <c r="I60" s="43"/>
      <c r="J60" s="50" t="s">
        <v>450</v>
      </c>
      <c r="K60" s="50" t="str">
        <f t="shared" si="5"/>
        <v>WARNING: Rate Missing — Fallback Value Used</v>
      </c>
    </row>
    <row r="61" spans="1:11" x14ac:dyDescent="0.3">
      <c r="A61" s="50" t="s">
        <v>451</v>
      </c>
      <c r="B61" s="50" t="s">
        <v>97</v>
      </c>
      <c r="C61" s="50" t="s">
        <v>6</v>
      </c>
      <c r="D61" s="50" t="s">
        <v>17</v>
      </c>
      <c r="E61" s="44">
        <f t="shared" ca="1" si="3"/>
        <v>46142</v>
      </c>
      <c r="F61" s="45"/>
      <c r="G61" s="50"/>
      <c r="H61" s="50" t="str">
        <f t="shared" si="4"/>
        <v/>
      </c>
      <c r="I61" s="43"/>
      <c r="J61" s="50" t="s">
        <v>452</v>
      </c>
      <c r="K61" s="50" t="str">
        <f t="shared" si="5"/>
        <v>WARNING: Rate Missing — Fallback Value Used</v>
      </c>
    </row>
    <row r="62" spans="1:11" x14ac:dyDescent="0.3">
      <c r="A62" s="50" t="s">
        <v>453</v>
      </c>
      <c r="B62" s="50" t="s">
        <v>97</v>
      </c>
      <c r="C62" s="50" t="s">
        <v>6</v>
      </c>
      <c r="D62" s="50" t="s">
        <v>17</v>
      </c>
      <c r="E62" s="44">
        <f t="shared" ca="1" si="3"/>
        <v>46142</v>
      </c>
      <c r="F62" s="45"/>
      <c r="G62" s="50"/>
      <c r="H62" s="50" t="str">
        <f t="shared" si="4"/>
        <v/>
      </c>
      <c r="I62" s="43"/>
      <c r="J62" s="50" t="s">
        <v>454</v>
      </c>
      <c r="K62" s="50" t="str">
        <f t="shared" si="5"/>
        <v>WARNING: Rate Missing — Fallback Value Used</v>
      </c>
    </row>
    <row r="63" spans="1:11" x14ac:dyDescent="0.3">
      <c r="A63" s="50" t="s">
        <v>193</v>
      </c>
      <c r="B63" s="50" t="s">
        <v>97</v>
      </c>
      <c r="C63" s="50" t="s">
        <v>6</v>
      </c>
      <c r="D63" s="50" t="s">
        <v>17</v>
      </c>
      <c r="E63" s="44">
        <f t="shared" ca="1" si="3"/>
        <v>46142</v>
      </c>
      <c r="F63" s="45"/>
      <c r="G63" s="50"/>
      <c r="H63" s="50" t="str">
        <f t="shared" si="4"/>
        <v/>
      </c>
      <c r="I63" s="43"/>
      <c r="J63" s="50" t="s">
        <v>452</v>
      </c>
      <c r="K63" s="50" t="str">
        <f t="shared" si="5"/>
        <v>WARNING: Rate Missing — Fallback Value Used</v>
      </c>
    </row>
    <row r="64" spans="1:11" x14ac:dyDescent="0.3">
      <c r="A64" s="50" t="s">
        <v>455</v>
      </c>
      <c r="B64" s="50" t="s">
        <v>97</v>
      </c>
      <c r="C64" s="50" t="str">
        <f>IF(Entity_Ownership!F12="","",Entity_Ownership!F12)</f>
        <v/>
      </c>
      <c r="D64" s="50" t="str">
        <f>IF(Entity_Ownership!G12="","",Entity_Ownership!G12)</f>
        <v/>
      </c>
      <c r="E64" s="44">
        <f t="shared" ca="1" si="3"/>
        <v>46142</v>
      </c>
      <c r="F64" s="45"/>
      <c r="G64" s="50"/>
      <c r="H64" s="50" t="str">
        <f t="shared" si="4"/>
        <v/>
      </c>
      <c r="I64" s="43"/>
      <c r="J64" s="50" t="s">
        <v>450</v>
      </c>
      <c r="K64" s="50" t="str">
        <f t="shared" si="5"/>
        <v>WARNING: Missing Country/Currency Data</v>
      </c>
    </row>
    <row r="65" spans="1:11" x14ac:dyDescent="0.3">
      <c r="A65" s="50" t="s">
        <v>456</v>
      </c>
      <c r="B65" s="50" t="s">
        <v>97</v>
      </c>
      <c r="C65" s="50" t="str">
        <f>IF(Entity_Ownership!F12="","",Entity_Ownership!F12)</f>
        <v/>
      </c>
      <c r="D65" s="50" t="str">
        <f>IF(Entity_Ownership!G12="","",Entity_Ownership!G12)</f>
        <v/>
      </c>
      <c r="E65" s="44">
        <f t="shared" ca="1" si="3"/>
        <v>46142</v>
      </c>
      <c r="F65" s="45"/>
      <c r="G65" s="50"/>
      <c r="H65" s="50" t="str">
        <f t="shared" si="4"/>
        <v/>
      </c>
      <c r="I65" s="43"/>
      <c r="J65" s="50" t="s">
        <v>452</v>
      </c>
      <c r="K65" s="50" t="str">
        <f t="shared" si="5"/>
        <v>WARNING: Missing Country/Currency Data</v>
      </c>
    </row>
    <row r="66" spans="1:11" x14ac:dyDescent="0.3">
      <c r="A66" s="50" t="s">
        <v>457</v>
      </c>
      <c r="B66" s="50" t="s">
        <v>97</v>
      </c>
      <c r="C66" s="50" t="str">
        <f>IF(Entity_Ownership!F12="","",Entity_Ownership!F12)</f>
        <v/>
      </c>
      <c r="D66" s="50" t="str">
        <f>IF(Entity_Ownership!G12="","",Entity_Ownership!G12)</f>
        <v/>
      </c>
      <c r="E66" s="44">
        <f t="shared" ca="1" si="3"/>
        <v>46142</v>
      </c>
      <c r="F66" s="45"/>
      <c r="G66" s="50"/>
      <c r="H66" s="50" t="str">
        <f t="shared" si="4"/>
        <v/>
      </c>
      <c r="I66" s="43"/>
      <c r="J66" s="50" t="s">
        <v>454</v>
      </c>
      <c r="K66" s="50" t="str">
        <f t="shared" si="5"/>
        <v>WARNING: Missing Country/Currency Data</v>
      </c>
    </row>
    <row r="67" spans="1:11" x14ac:dyDescent="0.3">
      <c r="A67" s="50" t="s">
        <v>449</v>
      </c>
      <c r="B67" s="50" t="s">
        <v>14</v>
      </c>
      <c r="C67" s="50" t="s">
        <v>6</v>
      </c>
      <c r="D67" s="50" t="s">
        <v>17</v>
      </c>
      <c r="E67" s="44">
        <f t="shared" ca="1" si="3"/>
        <v>46142</v>
      </c>
      <c r="F67" s="45"/>
      <c r="G67" s="50"/>
      <c r="H67" s="50" t="str">
        <f t="shared" si="4"/>
        <v/>
      </c>
      <c r="I67" s="43"/>
      <c r="J67" s="50" t="s">
        <v>450</v>
      </c>
      <c r="K67" s="50" t="str">
        <f t="shared" si="5"/>
        <v>WARNING: Rate Missing — Fallback Value Used</v>
      </c>
    </row>
    <row r="68" spans="1:11" x14ac:dyDescent="0.3">
      <c r="A68" s="50" t="s">
        <v>451</v>
      </c>
      <c r="B68" s="50" t="s">
        <v>14</v>
      </c>
      <c r="C68" s="50" t="s">
        <v>6</v>
      </c>
      <c r="D68" s="50" t="s">
        <v>17</v>
      </c>
      <c r="E68" s="44">
        <f t="shared" ref="E68:E73" ca="1" si="6">EOMONTH(TODAY(),-1)</f>
        <v>46142</v>
      </c>
      <c r="F68" s="45"/>
      <c r="G68" s="50"/>
      <c r="H68" s="50" t="str">
        <f t="shared" ref="H68:H99" si="7">IF(OR(F68="",G68=""),"","Yes")</f>
        <v/>
      </c>
      <c r="I68" s="43"/>
      <c r="J68" s="50" t="s">
        <v>452</v>
      </c>
      <c r="K68" s="50" t="str">
        <f t="shared" ref="K68:K73" si="8">IF(OR(A68="Local 10-Year Government Bond Yield",A68="Local Market Risk Premium",A68="Local Corporate Bond Yield"),IF(OR(C68="",D68=""),"WARNING: Missing Country/Currency Data",IF(F68="","WARNING: Rate Missing — Fallback Value Used","")),IF(F68="","WARNING: Rate Missing — Fallback Value Used",""))</f>
        <v>WARNING: Rate Missing — Fallback Value Used</v>
      </c>
    </row>
    <row r="69" spans="1:11" x14ac:dyDescent="0.3">
      <c r="A69" s="50" t="s">
        <v>453</v>
      </c>
      <c r="B69" s="50" t="s">
        <v>14</v>
      </c>
      <c r="C69" s="50" t="s">
        <v>6</v>
      </c>
      <c r="D69" s="50" t="s">
        <v>17</v>
      </c>
      <c r="E69" s="44">
        <f t="shared" ca="1" si="6"/>
        <v>46142</v>
      </c>
      <c r="F69" s="45"/>
      <c r="G69" s="50"/>
      <c r="H69" s="50" t="str">
        <f t="shared" si="7"/>
        <v/>
      </c>
      <c r="I69" s="43"/>
      <c r="J69" s="50" t="s">
        <v>454</v>
      </c>
      <c r="K69" s="50" t="str">
        <f t="shared" si="8"/>
        <v>WARNING: Rate Missing — Fallback Value Used</v>
      </c>
    </row>
    <row r="70" spans="1:11" x14ac:dyDescent="0.3">
      <c r="A70" s="50" t="s">
        <v>193</v>
      </c>
      <c r="B70" s="50" t="s">
        <v>14</v>
      </c>
      <c r="C70" s="50" t="s">
        <v>6</v>
      </c>
      <c r="D70" s="50" t="s">
        <v>17</v>
      </c>
      <c r="E70" s="44">
        <f t="shared" ca="1" si="6"/>
        <v>46142</v>
      </c>
      <c r="F70" s="45"/>
      <c r="G70" s="50"/>
      <c r="H70" s="50" t="str">
        <f t="shared" si="7"/>
        <v/>
      </c>
      <c r="I70" s="43"/>
      <c r="J70" s="50" t="s">
        <v>452</v>
      </c>
      <c r="K70" s="50" t="str">
        <f t="shared" si="8"/>
        <v>WARNING: Rate Missing — Fallback Value Used</v>
      </c>
    </row>
    <row r="71" spans="1:11" x14ac:dyDescent="0.3">
      <c r="A71" s="50" t="s">
        <v>455</v>
      </c>
      <c r="B71" s="50" t="s">
        <v>14</v>
      </c>
      <c r="C71" s="50" t="str">
        <f>IF(Entity_Ownership!F13="","",Entity_Ownership!F13)</f>
        <v/>
      </c>
      <c r="D71" s="50" t="str">
        <f>IF(Entity_Ownership!G13="","",Entity_Ownership!G13)</f>
        <v/>
      </c>
      <c r="E71" s="44">
        <f t="shared" ca="1" si="6"/>
        <v>46142</v>
      </c>
      <c r="F71" s="45"/>
      <c r="G71" s="50"/>
      <c r="H71" s="50" t="str">
        <f t="shared" si="7"/>
        <v/>
      </c>
      <c r="I71" s="43"/>
      <c r="J71" s="50" t="s">
        <v>450</v>
      </c>
      <c r="K71" s="50" t="str">
        <f t="shared" si="8"/>
        <v>WARNING: Missing Country/Currency Data</v>
      </c>
    </row>
    <row r="72" spans="1:11" x14ac:dyDescent="0.3">
      <c r="A72" s="50" t="s">
        <v>456</v>
      </c>
      <c r="B72" s="50" t="s">
        <v>14</v>
      </c>
      <c r="C72" s="50" t="str">
        <f>IF(Entity_Ownership!F13="","",Entity_Ownership!F13)</f>
        <v/>
      </c>
      <c r="D72" s="50" t="str">
        <f>IF(Entity_Ownership!G13="","",Entity_Ownership!G13)</f>
        <v/>
      </c>
      <c r="E72" s="44">
        <f t="shared" ca="1" si="6"/>
        <v>46142</v>
      </c>
      <c r="F72" s="45"/>
      <c r="G72" s="50"/>
      <c r="H72" s="50" t="str">
        <f t="shared" si="7"/>
        <v/>
      </c>
      <c r="I72" s="43"/>
      <c r="J72" s="50" t="s">
        <v>452</v>
      </c>
      <c r="K72" s="50" t="str">
        <f t="shared" si="8"/>
        <v>WARNING: Missing Country/Currency Data</v>
      </c>
    </row>
    <row r="73" spans="1:11" x14ac:dyDescent="0.3">
      <c r="A73" s="50" t="s">
        <v>457</v>
      </c>
      <c r="B73" s="50" t="s">
        <v>14</v>
      </c>
      <c r="C73" s="50" t="str">
        <f>IF(Entity_Ownership!F13="","",Entity_Ownership!F13)</f>
        <v/>
      </c>
      <c r="D73" s="50" t="str">
        <f>IF(Entity_Ownership!G13="","",Entity_Ownership!G13)</f>
        <v/>
      </c>
      <c r="E73" s="44">
        <f t="shared" ca="1" si="6"/>
        <v>46142</v>
      </c>
      <c r="F73" s="45"/>
      <c r="G73" s="50"/>
      <c r="H73" s="50" t="str">
        <f t="shared" si="7"/>
        <v/>
      </c>
      <c r="I73" s="43"/>
      <c r="J73" s="50" t="s">
        <v>454</v>
      </c>
      <c r="K73" s="50" t="str">
        <f t="shared" si="8"/>
        <v>WARNING: Missing Country/Currency Data</v>
      </c>
    </row>
    <row r="74" spans="1:1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</sheetData>
  <dataValidations count="1">
    <dataValidation type="list" allowBlank="1" showInputMessage="1" showErrorMessage="1" errorTitle="Invalid value" error="Please use the dropdown list or leave the cell blank." promptTitle="Select from list" prompt="Choose a value from the dropdown or leave blank for AI ingestion." sqref="H4:I73" xr:uid="{24039BB2-82D8-430F-9F58-C52C5D56CE12}">
      <formula1>NR_List_Yes_No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0CE0-7D5D-4D17-87CC-AAB7689B5469}">
  <dimension ref="A1:M112"/>
  <sheetViews>
    <sheetView workbookViewId="0"/>
  </sheetViews>
  <sheetFormatPr defaultRowHeight="14.4" x14ac:dyDescent="0.3"/>
  <cols>
    <col min="1" max="1" width="54.44140625" bestFit="1" customWidth="1"/>
    <col min="2" max="2" width="36" bestFit="1" customWidth="1"/>
    <col min="3" max="3" width="58.44140625" bestFit="1" customWidth="1"/>
    <col min="4" max="4" width="17.6640625" bestFit="1" customWidth="1"/>
    <col min="5" max="5" width="23.5546875" bestFit="1" customWidth="1"/>
    <col min="6" max="6" width="15.6640625" bestFit="1" customWidth="1"/>
    <col min="7" max="7" width="10.33203125" bestFit="1" customWidth="1"/>
    <col min="8" max="8" width="18" bestFit="1" customWidth="1"/>
    <col min="9" max="9" width="22.44140625" bestFit="1" customWidth="1"/>
    <col min="10" max="10" width="14.6640625" bestFit="1" customWidth="1"/>
    <col min="11" max="11" width="12.44140625" bestFit="1" customWidth="1"/>
    <col min="12" max="12" width="10.88671875" bestFit="1" customWidth="1"/>
    <col min="13" max="13" width="20.33203125" bestFit="1" customWidth="1"/>
  </cols>
  <sheetData>
    <row r="1" spans="1:13" x14ac:dyDescent="0.3">
      <c r="A1" s="31" t="s">
        <v>458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x14ac:dyDescent="0.3">
      <c r="A3" s="28" t="s">
        <v>444</v>
      </c>
      <c r="B3" s="28" t="s">
        <v>84</v>
      </c>
      <c r="C3" s="28" t="s">
        <v>445</v>
      </c>
      <c r="D3" s="28" t="s">
        <v>85</v>
      </c>
      <c r="E3" s="28" t="s">
        <v>446</v>
      </c>
      <c r="F3" s="28" t="s">
        <v>447</v>
      </c>
      <c r="G3" s="28" t="s">
        <v>87</v>
      </c>
      <c r="H3" s="28" t="s">
        <v>88</v>
      </c>
      <c r="I3" s="28" t="s">
        <v>89</v>
      </c>
      <c r="J3" s="28" t="s">
        <v>459</v>
      </c>
      <c r="K3" s="28" t="s">
        <v>460</v>
      </c>
      <c r="L3" s="28" t="s">
        <v>461</v>
      </c>
      <c r="M3" s="28" t="s">
        <v>462</v>
      </c>
    </row>
    <row r="4" spans="1:13" x14ac:dyDescent="0.3">
      <c r="A4" s="23" t="str">
        <f>IF(Global_Rates!A4="","",Global_Rates!A4)</f>
        <v>U.S. 10-Year Treasury</v>
      </c>
      <c r="B4" s="23" t="str">
        <f>IF(Global_Rates!B4="","",Global_Rates!B4)</f>
        <v>Entity 1</v>
      </c>
      <c r="C4" s="23" t="str">
        <f>IF(Global_Rates!C4="","",Global_Rates!C4)</f>
        <v>United States</v>
      </c>
      <c r="D4" s="23" t="str">
        <f>IF(Global_Rates!D4="","",Global_Rates!D4)</f>
        <v>USD</v>
      </c>
      <c r="E4" s="32">
        <f ca="1">IF(Global_Rates!E4="","",Global_Rates!E4)</f>
        <v>46142</v>
      </c>
      <c r="F4" s="23" t="str">
        <f>IF(Global_Rates!F4="","",Global_Rates!F4)</f>
        <v/>
      </c>
      <c r="G4" s="23" t="str">
        <f>IF(Global_Rates!G4="","",Global_Rates!G4)</f>
        <v/>
      </c>
      <c r="H4" s="23" t="str">
        <f>IF(Global_Rates!H4="","",Global_Rates!H4)</f>
        <v/>
      </c>
      <c r="I4" s="23" t="str">
        <f>IF(Global_Rates!I4="","",Global_Rates!I4)</f>
        <v/>
      </c>
      <c r="J4" s="29"/>
      <c r="K4" s="33"/>
      <c r="L4" s="29"/>
      <c r="M4" s="23" t="str">
        <f>IF(Global_Rates!J4="","",Global_Rates!J4)</f>
        <v>WACC / CAPM</v>
      </c>
    </row>
    <row r="5" spans="1:13" x14ac:dyDescent="0.3">
      <c r="A5" s="23" t="str">
        <f>IF(Global_Rates!A5="","",Global_Rates!A5)</f>
        <v>U.S. Market Risk Premium</v>
      </c>
      <c r="B5" s="23" t="str">
        <f>IF(Global_Rates!B5="","",Global_Rates!B5)</f>
        <v>Entity 1</v>
      </c>
      <c r="C5" s="23" t="str">
        <f>IF(Global_Rates!C5="","",Global_Rates!C5)</f>
        <v>United States</v>
      </c>
      <c r="D5" s="23" t="str">
        <f>IF(Global_Rates!D5="","",Global_Rates!D5)</f>
        <v>USD</v>
      </c>
      <c r="E5" s="32">
        <f ca="1">IF(Global_Rates!E5="","",Global_Rates!E5)</f>
        <v>46142</v>
      </c>
      <c r="F5" s="23" t="str">
        <f>IF(Global_Rates!F5="","",Global_Rates!F5)</f>
        <v/>
      </c>
      <c r="G5" s="23" t="str">
        <f>IF(Global_Rates!G5="","",Global_Rates!G5)</f>
        <v/>
      </c>
      <c r="H5" s="23" t="str">
        <f>IF(Global_Rates!H5="","",Global_Rates!H5)</f>
        <v/>
      </c>
      <c r="I5" s="23" t="str">
        <f>IF(Global_Rates!I5="","",Global_Rates!I5)</f>
        <v/>
      </c>
      <c r="J5" s="29"/>
      <c r="K5" s="33"/>
      <c r="L5" s="29"/>
      <c r="M5" s="23" t="str">
        <f>IF(Global_Rates!J5="","",Global_Rates!J5)</f>
        <v>CAPM</v>
      </c>
    </row>
    <row r="6" spans="1:13" x14ac:dyDescent="0.3">
      <c r="A6" s="23" t="str">
        <f>IF(Global_Rates!A6="","",Global_Rates!A6)</f>
        <v>U.S. Corporate Bond Yield</v>
      </c>
      <c r="B6" s="23" t="str">
        <f>IF(Global_Rates!B6="","",Global_Rates!B6)</f>
        <v>Entity 1</v>
      </c>
      <c r="C6" s="23" t="str">
        <f>IF(Global_Rates!C6="","",Global_Rates!C6)</f>
        <v>United States</v>
      </c>
      <c r="D6" s="23" t="str">
        <f>IF(Global_Rates!D6="","",Global_Rates!D6)</f>
        <v>USD</v>
      </c>
      <c r="E6" s="32">
        <f ca="1">IF(Global_Rates!E6="","",Global_Rates!E6)</f>
        <v>46142</v>
      </c>
      <c r="F6" s="23" t="str">
        <f>IF(Global_Rates!F6="","",Global_Rates!F6)</f>
        <v/>
      </c>
      <c r="G6" s="23" t="str">
        <f>IF(Global_Rates!G6="","",Global_Rates!G6)</f>
        <v/>
      </c>
      <c r="H6" s="23" t="str">
        <f>IF(Global_Rates!H6="","",Global_Rates!H6)</f>
        <v/>
      </c>
      <c r="I6" s="23" t="str">
        <f>IF(Global_Rates!I6="","",Global_Rates!I6)</f>
        <v/>
      </c>
      <c r="J6" s="29"/>
      <c r="K6" s="33"/>
      <c r="L6" s="29"/>
      <c r="M6" s="23" t="str">
        <f>IF(Global_Rates!J6="","",Global_Rates!J6)</f>
        <v>WACC / Loan Readiness</v>
      </c>
    </row>
    <row r="7" spans="1:13" x14ac:dyDescent="0.3">
      <c r="A7" s="23" t="str">
        <f>IF(Global_Rates!A7="","",Global_Rates!A7)</f>
        <v>Beta</v>
      </c>
      <c r="B7" s="23" t="str">
        <f>IF(Global_Rates!B7="","",Global_Rates!B7)</f>
        <v>Entity 1</v>
      </c>
      <c r="C7" s="23" t="str">
        <f>IF(Global_Rates!C7="","",Global_Rates!C7)</f>
        <v>United States</v>
      </c>
      <c r="D7" s="23" t="str">
        <f>IF(Global_Rates!D7="","",Global_Rates!D7)</f>
        <v>USD</v>
      </c>
      <c r="E7" s="32">
        <f ca="1">IF(Global_Rates!E7="","",Global_Rates!E7)</f>
        <v>46142</v>
      </c>
      <c r="F7" s="23" t="str">
        <f>IF(Global_Rates!F7="","",Global_Rates!F7)</f>
        <v/>
      </c>
      <c r="G7" s="23" t="str">
        <f>IF(Global_Rates!G7="","",Global_Rates!G7)</f>
        <v/>
      </c>
      <c r="H7" s="23" t="str">
        <f>IF(Global_Rates!H7="","",Global_Rates!H7)</f>
        <v/>
      </c>
      <c r="I7" s="23" t="str">
        <f>IF(Global_Rates!I7="","",Global_Rates!I7)</f>
        <v/>
      </c>
      <c r="J7" s="29"/>
      <c r="K7" s="33"/>
      <c r="L7" s="29"/>
      <c r="M7" s="23" t="str">
        <f>IF(Global_Rates!J7="","",Global_Rates!J7)</f>
        <v>CAPM</v>
      </c>
    </row>
    <row r="8" spans="1:13" x14ac:dyDescent="0.3">
      <c r="A8" s="23" t="str">
        <f>IF(Global_Rates!A8="","",Global_Rates!A8)</f>
        <v>Local 10-Year Government Bond Yield</v>
      </c>
      <c r="B8" s="23" t="str">
        <f>IF(Global_Rates!B8="","",Global_Rates!B8)</f>
        <v>Entity 1</v>
      </c>
      <c r="C8" s="23" t="str">
        <f>IF(Global_Rates!C8="","",Global_Rates!C8)</f>
        <v/>
      </c>
      <c r="D8" s="23" t="str">
        <f>IF(Global_Rates!D8="","",Global_Rates!D8)</f>
        <v/>
      </c>
      <c r="E8" s="32">
        <f ca="1">IF(Global_Rates!E8="","",Global_Rates!E8)</f>
        <v>46142</v>
      </c>
      <c r="F8" s="23" t="str">
        <f>IF(Global_Rates!F8="","",Global_Rates!F8)</f>
        <v/>
      </c>
      <c r="G8" s="23" t="str">
        <f>IF(Global_Rates!G8="","",Global_Rates!G8)</f>
        <v/>
      </c>
      <c r="H8" s="23" t="str">
        <f>IF(Global_Rates!H8="","",Global_Rates!H8)</f>
        <v/>
      </c>
      <c r="I8" s="23" t="str">
        <f>IF(Global_Rates!I8="","",Global_Rates!I8)</f>
        <v/>
      </c>
      <c r="J8" s="29"/>
      <c r="K8" s="33"/>
      <c r="L8" s="29"/>
      <c r="M8" s="23" t="str">
        <f>IF(Global_Rates!J8="","",Global_Rates!J8)</f>
        <v>WACC / CAPM</v>
      </c>
    </row>
    <row r="9" spans="1:13" x14ac:dyDescent="0.3">
      <c r="A9" s="23" t="str">
        <f>IF(Global_Rates!A9="","",Global_Rates!A9)</f>
        <v>Local Market Risk Premium</v>
      </c>
      <c r="B9" s="23" t="str">
        <f>IF(Global_Rates!B9="","",Global_Rates!B9)</f>
        <v>Entity 1</v>
      </c>
      <c r="C9" s="23" t="str">
        <f>IF(Global_Rates!C9="","",Global_Rates!C9)</f>
        <v/>
      </c>
      <c r="D9" s="23" t="str">
        <f>IF(Global_Rates!D9="","",Global_Rates!D9)</f>
        <v/>
      </c>
      <c r="E9" s="32">
        <f ca="1">IF(Global_Rates!E9="","",Global_Rates!E9)</f>
        <v>46142</v>
      </c>
      <c r="F9" s="23" t="str">
        <f>IF(Global_Rates!F9="","",Global_Rates!F9)</f>
        <v/>
      </c>
      <c r="G9" s="23" t="str">
        <f>IF(Global_Rates!G9="","",Global_Rates!G9)</f>
        <v/>
      </c>
      <c r="H9" s="23" t="str">
        <f>IF(Global_Rates!H9="","",Global_Rates!H9)</f>
        <v/>
      </c>
      <c r="I9" s="23" t="str">
        <f>IF(Global_Rates!I9="","",Global_Rates!I9)</f>
        <v/>
      </c>
      <c r="J9" s="29"/>
      <c r="K9" s="33"/>
      <c r="L9" s="29"/>
      <c r="M9" s="23" t="str">
        <f>IF(Global_Rates!J9="","",Global_Rates!J9)</f>
        <v>CAPM</v>
      </c>
    </row>
    <row r="10" spans="1:13" x14ac:dyDescent="0.3">
      <c r="A10" s="23" t="str">
        <f>IF(Global_Rates!A10="","",Global_Rates!A10)</f>
        <v>Local Corporate Bond Yield</v>
      </c>
      <c r="B10" s="23" t="str">
        <f>IF(Global_Rates!B10="","",Global_Rates!B10)</f>
        <v>Entity 1</v>
      </c>
      <c r="C10" s="23" t="str">
        <f>IF(Global_Rates!C10="","",Global_Rates!C10)</f>
        <v/>
      </c>
      <c r="D10" s="23" t="str">
        <f>IF(Global_Rates!D10="","",Global_Rates!D10)</f>
        <v/>
      </c>
      <c r="E10" s="32">
        <f ca="1">IF(Global_Rates!E10="","",Global_Rates!E10)</f>
        <v>46142</v>
      </c>
      <c r="F10" s="23" t="str">
        <f>IF(Global_Rates!F10="","",Global_Rates!F10)</f>
        <v/>
      </c>
      <c r="G10" s="23" t="str">
        <f>IF(Global_Rates!G10="","",Global_Rates!G10)</f>
        <v/>
      </c>
      <c r="H10" s="23" t="str">
        <f>IF(Global_Rates!H10="","",Global_Rates!H10)</f>
        <v/>
      </c>
      <c r="I10" s="23" t="str">
        <f>IF(Global_Rates!I10="","",Global_Rates!I10)</f>
        <v/>
      </c>
      <c r="J10" s="29"/>
      <c r="K10" s="33"/>
      <c r="L10" s="29"/>
      <c r="M10" s="23" t="str">
        <f>IF(Global_Rates!J10="","",Global_Rates!J10)</f>
        <v>WACC / Loan Readiness</v>
      </c>
    </row>
    <row r="11" spans="1:13" x14ac:dyDescent="0.3">
      <c r="A11" s="23" t="str">
        <f>IF(Global_Rates!A11="","",Global_Rates!A11)</f>
        <v>U.S. 10-Year Treasury</v>
      </c>
      <c r="B11" s="23" t="str">
        <f>IF(Global_Rates!B11="","",Global_Rates!B11)</f>
        <v>Entity 2</v>
      </c>
      <c r="C11" s="23" t="str">
        <f>IF(Global_Rates!C11="","",Global_Rates!C11)</f>
        <v>United States</v>
      </c>
      <c r="D11" s="23" t="str">
        <f>IF(Global_Rates!D11="","",Global_Rates!D11)</f>
        <v>USD</v>
      </c>
      <c r="E11" s="32">
        <f ca="1">IF(Global_Rates!E11="","",Global_Rates!E11)</f>
        <v>46142</v>
      </c>
      <c r="F11" s="23" t="str">
        <f>IF(Global_Rates!F11="","",Global_Rates!F11)</f>
        <v/>
      </c>
      <c r="G11" s="23" t="str">
        <f>IF(Global_Rates!G11="","",Global_Rates!G11)</f>
        <v/>
      </c>
      <c r="H11" s="23" t="str">
        <f>IF(Global_Rates!H11="","",Global_Rates!H11)</f>
        <v/>
      </c>
      <c r="I11" s="23" t="str">
        <f>IF(Global_Rates!I11="","",Global_Rates!I11)</f>
        <v/>
      </c>
      <c r="J11" s="29"/>
      <c r="K11" s="33"/>
      <c r="L11" s="29"/>
      <c r="M11" s="23" t="str">
        <f>IF(Global_Rates!J11="","",Global_Rates!J11)</f>
        <v>WACC / CAPM</v>
      </c>
    </row>
    <row r="12" spans="1:13" x14ac:dyDescent="0.3">
      <c r="A12" s="23" t="str">
        <f>IF(Global_Rates!A12="","",Global_Rates!A12)</f>
        <v>U.S. Market Risk Premium</v>
      </c>
      <c r="B12" s="23" t="str">
        <f>IF(Global_Rates!B12="","",Global_Rates!B12)</f>
        <v>Entity 2</v>
      </c>
      <c r="C12" s="23" t="str">
        <f>IF(Global_Rates!C12="","",Global_Rates!C12)</f>
        <v>United States</v>
      </c>
      <c r="D12" s="23" t="str">
        <f>IF(Global_Rates!D12="","",Global_Rates!D12)</f>
        <v>USD</v>
      </c>
      <c r="E12" s="32">
        <f ca="1">IF(Global_Rates!E12="","",Global_Rates!E12)</f>
        <v>46142</v>
      </c>
      <c r="F12" s="23" t="str">
        <f>IF(Global_Rates!F12="","",Global_Rates!F12)</f>
        <v/>
      </c>
      <c r="G12" s="23" t="str">
        <f>IF(Global_Rates!G12="","",Global_Rates!G12)</f>
        <v/>
      </c>
      <c r="H12" s="23" t="str">
        <f>IF(Global_Rates!H12="","",Global_Rates!H12)</f>
        <v/>
      </c>
      <c r="I12" s="23" t="str">
        <f>IF(Global_Rates!I12="","",Global_Rates!I12)</f>
        <v/>
      </c>
      <c r="J12" s="29"/>
      <c r="K12" s="33"/>
      <c r="L12" s="29"/>
      <c r="M12" s="23" t="str">
        <f>IF(Global_Rates!J12="","",Global_Rates!J12)</f>
        <v>CAPM</v>
      </c>
    </row>
    <row r="13" spans="1:13" x14ac:dyDescent="0.3">
      <c r="A13" s="23" t="str">
        <f>IF(Global_Rates!A13="","",Global_Rates!A13)</f>
        <v>U.S. Corporate Bond Yield</v>
      </c>
      <c r="B13" s="23" t="str">
        <f>IF(Global_Rates!B13="","",Global_Rates!B13)</f>
        <v>Entity 2</v>
      </c>
      <c r="C13" s="23" t="str">
        <f>IF(Global_Rates!C13="","",Global_Rates!C13)</f>
        <v>United States</v>
      </c>
      <c r="D13" s="23" t="str">
        <f>IF(Global_Rates!D13="","",Global_Rates!D13)</f>
        <v>USD</v>
      </c>
      <c r="E13" s="32">
        <f ca="1">IF(Global_Rates!E13="","",Global_Rates!E13)</f>
        <v>46142</v>
      </c>
      <c r="F13" s="23" t="str">
        <f>IF(Global_Rates!F13="","",Global_Rates!F13)</f>
        <v/>
      </c>
      <c r="G13" s="23" t="str">
        <f>IF(Global_Rates!G13="","",Global_Rates!G13)</f>
        <v/>
      </c>
      <c r="H13" s="23" t="str">
        <f>IF(Global_Rates!H13="","",Global_Rates!H13)</f>
        <v/>
      </c>
      <c r="I13" s="23" t="str">
        <f>IF(Global_Rates!I13="","",Global_Rates!I13)</f>
        <v/>
      </c>
      <c r="J13" s="29"/>
      <c r="K13" s="33"/>
      <c r="L13" s="29"/>
      <c r="M13" s="23" t="str">
        <f>IF(Global_Rates!J13="","",Global_Rates!J13)</f>
        <v>WACC / Loan Readiness</v>
      </c>
    </row>
    <row r="14" spans="1:13" x14ac:dyDescent="0.3">
      <c r="A14" s="23" t="str">
        <f>IF(Global_Rates!A14="","",Global_Rates!A14)</f>
        <v>Beta</v>
      </c>
      <c r="B14" s="23" t="str">
        <f>IF(Global_Rates!B14="","",Global_Rates!B14)</f>
        <v>Entity 2</v>
      </c>
      <c r="C14" s="23" t="str">
        <f>IF(Global_Rates!C14="","",Global_Rates!C14)</f>
        <v>United States</v>
      </c>
      <c r="D14" s="23" t="str">
        <f>IF(Global_Rates!D14="","",Global_Rates!D14)</f>
        <v>USD</v>
      </c>
      <c r="E14" s="32">
        <f ca="1">IF(Global_Rates!E14="","",Global_Rates!E14)</f>
        <v>46142</v>
      </c>
      <c r="F14" s="23" t="str">
        <f>IF(Global_Rates!F14="","",Global_Rates!F14)</f>
        <v/>
      </c>
      <c r="G14" s="23" t="str">
        <f>IF(Global_Rates!G14="","",Global_Rates!G14)</f>
        <v/>
      </c>
      <c r="H14" s="23" t="str">
        <f>IF(Global_Rates!H14="","",Global_Rates!H14)</f>
        <v/>
      </c>
      <c r="I14" s="23" t="str">
        <f>IF(Global_Rates!I14="","",Global_Rates!I14)</f>
        <v/>
      </c>
      <c r="J14" s="29"/>
      <c r="K14" s="33"/>
      <c r="L14" s="29"/>
      <c r="M14" s="23" t="str">
        <f>IF(Global_Rates!J14="","",Global_Rates!J14)</f>
        <v>CAPM</v>
      </c>
    </row>
    <row r="15" spans="1:13" x14ac:dyDescent="0.3">
      <c r="A15" s="23" t="str">
        <f>IF(Global_Rates!A15="","",Global_Rates!A15)</f>
        <v>Local 10-Year Government Bond Yield</v>
      </c>
      <c r="B15" s="23" t="str">
        <f>IF(Global_Rates!B15="","",Global_Rates!B15)</f>
        <v>Entity 2</v>
      </c>
      <c r="C15" s="23" t="str">
        <f>IF(Global_Rates!C15="","",Global_Rates!C15)</f>
        <v/>
      </c>
      <c r="D15" s="23" t="str">
        <f>IF(Global_Rates!D15="","",Global_Rates!D15)</f>
        <v/>
      </c>
      <c r="E15" s="32">
        <f ca="1">IF(Global_Rates!E15="","",Global_Rates!E15)</f>
        <v>46142</v>
      </c>
      <c r="F15" s="23" t="str">
        <f>IF(Global_Rates!F15="","",Global_Rates!F15)</f>
        <v/>
      </c>
      <c r="G15" s="23" t="str">
        <f>IF(Global_Rates!G15="","",Global_Rates!G15)</f>
        <v/>
      </c>
      <c r="H15" s="23" t="str">
        <f>IF(Global_Rates!H15="","",Global_Rates!H15)</f>
        <v/>
      </c>
      <c r="I15" s="23" t="str">
        <f>IF(Global_Rates!I15="","",Global_Rates!I15)</f>
        <v/>
      </c>
      <c r="J15" s="29"/>
      <c r="K15" s="33"/>
      <c r="L15" s="29"/>
      <c r="M15" s="23" t="str">
        <f>IF(Global_Rates!J15="","",Global_Rates!J15)</f>
        <v>WACC / CAPM</v>
      </c>
    </row>
    <row r="16" spans="1:13" x14ac:dyDescent="0.3">
      <c r="A16" s="23" t="str">
        <f>IF(Global_Rates!A16="","",Global_Rates!A16)</f>
        <v>Local Market Risk Premium</v>
      </c>
      <c r="B16" s="23" t="str">
        <f>IF(Global_Rates!B16="","",Global_Rates!B16)</f>
        <v>Entity 2</v>
      </c>
      <c r="C16" s="23" t="str">
        <f>IF(Global_Rates!C16="","",Global_Rates!C16)</f>
        <v/>
      </c>
      <c r="D16" s="23" t="str">
        <f>IF(Global_Rates!D16="","",Global_Rates!D16)</f>
        <v/>
      </c>
      <c r="E16" s="32">
        <f ca="1">IF(Global_Rates!E16="","",Global_Rates!E16)</f>
        <v>46142</v>
      </c>
      <c r="F16" s="23" t="str">
        <f>IF(Global_Rates!F16="","",Global_Rates!F16)</f>
        <v/>
      </c>
      <c r="G16" s="23" t="str">
        <f>IF(Global_Rates!G16="","",Global_Rates!G16)</f>
        <v/>
      </c>
      <c r="H16" s="23" t="str">
        <f>IF(Global_Rates!H16="","",Global_Rates!H16)</f>
        <v/>
      </c>
      <c r="I16" s="23" t="str">
        <f>IF(Global_Rates!I16="","",Global_Rates!I16)</f>
        <v/>
      </c>
      <c r="J16" s="29"/>
      <c r="K16" s="33"/>
      <c r="L16" s="29"/>
      <c r="M16" s="23" t="str">
        <f>IF(Global_Rates!J16="","",Global_Rates!J16)</f>
        <v>CAPM</v>
      </c>
    </row>
    <row r="17" spans="1:13" x14ac:dyDescent="0.3">
      <c r="A17" s="23" t="str">
        <f>IF(Global_Rates!A17="","",Global_Rates!A17)</f>
        <v>Local Corporate Bond Yield</v>
      </c>
      <c r="B17" s="23" t="str">
        <f>IF(Global_Rates!B17="","",Global_Rates!B17)</f>
        <v>Entity 2</v>
      </c>
      <c r="C17" s="23" t="str">
        <f>IF(Global_Rates!C17="","",Global_Rates!C17)</f>
        <v/>
      </c>
      <c r="D17" s="23" t="str">
        <f>IF(Global_Rates!D17="","",Global_Rates!D17)</f>
        <v/>
      </c>
      <c r="E17" s="32">
        <f ca="1">IF(Global_Rates!E17="","",Global_Rates!E17)</f>
        <v>46142</v>
      </c>
      <c r="F17" s="23" t="str">
        <f>IF(Global_Rates!F17="","",Global_Rates!F17)</f>
        <v/>
      </c>
      <c r="G17" s="23" t="str">
        <f>IF(Global_Rates!G17="","",Global_Rates!G17)</f>
        <v/>
      </c>
      <c r="H17" s="23" t="str">
        <f>IF(Global_Rates!H17="","",Global_Rates!H17)</f>
        <v/>
      </c>
      <c r="I17" s="23" t="str">
        <f>IF(Global_Rates!I17="","",Global_Rates!I17)</f>
        <v/>
      </c>
      <c r="J17" s="29"/>
      <c r="K17" s="33"/>
      <c r="L17" s="29"/>
      <c r="M17" s="23" t="str">
        <f>IF(Global_Rates!J17="","",Global_Rates!J17)</f>
        <v>WACC / Loan Readiness</v>
      </c>
    </row>
    <row r="18" spans="1:13" x14ac:dyDescent="0.3">
      <c r="A18" s="23" t="str">
        <f>IF(Global_Rates!A18="","",Global_Rates!A18)</f>
        <v>U.S. 10-Year Treasury</v>
      </c>
      <c r="B18" s="23" t="str">
        <f>IF(Global_Rates!B18="","",Global_Rates!B18)</f>
        <v>Entity 3</v>
      </c>
      <c r="C18" s="23" t="str">
        <f>IF(Global_Rates!C18="","",Global_Rates!C18)</f>
        <v>United States</v>
      </c>
      <c r="D18" s="23" t="str">
        <f>IF(Global_Rates!D18="","",Global_Rates!D18)</f>
        <v>USD</v>
      </c>
      <c r="E18" s="32">
        <f ca="1">IF(Global_Rates!E18="","",Global_Rates!E18)</f>
        <v>46142</v>
      </c>
      <c r="F18" s="23" t="str">
        <f>IF(Global_Rates!F18="","",Global_Rates!F18)</f>
        <v/>
      </c>
      <c r="G18" s="23" t="str">
        <f>IF(Global_Rates!G18="","",Global_Rates!G18)</f>
        <v/>
      </c>
      <c r="H18" s="23" t="str">
        <f>IF(Global_Rates!H18="","",Global_Rates!H18)</f>
        <v/>
      </c>
      <c r="I18" s="23" t="str">
        <f>IF(Global_Rates!I18="","",Global_Rates!I18)</f>
        <v/>
      </c>
      <c r="J18" s="29"/>
      <c r="K18" s="33"/>
      <c r="L18" s="29"/>
      <c r="M18" s="23" t="str">
        <f>IF(Global_Rates!J18="","",Global_Rates!J18)</f>
        <v>WACC / CAPM</v>
      </c>
    </row>
    <row r="19" spans="1:13" x14ac:dyDescent="0.3">
      <c r="A19" s="23" t="str">
        <f>IF(Global_Rates!A19="","",Global_Rates!A19)</f>
        <v>U.S. Market Risk Premium</v>
      </c>
      <c r="B19" s="23" t="str">
        <f>IF(Global_Rates!B19="","",Global_Rates!B19)</f>
        <v>Entity 3</v>
      </c>
      <c r="C19" s="23" t="str">
        <f>IF(Global_Rates!C19="","",Global_Rates!C19)</f>
        <v>United States</v>
      </c>
      <c r="D19" s="23" t="str">
        <f>IF(Global_Rates!D19="","",Global_Rates!D19)</f>
        <v>USD</v>
      </c>
      <c r="E19" s="32">
        <f ca="1">IF(Global_Rates!E19="","",Global_Rates!E19)</f>
        <v>46142</v>
      </c>
      <c r="F19" s="23" t="str">
        <f>IF(Global_Rates!F19="","",Global_Rates!F19)</f>
        <v/>
      </c>
      <c r="G19" s="23" t="str">
        <f>IF(Global_Rates!G19="","",Global_Rates!G19)</f>
        <v/>
      </c>
      <c r="H19" s="23" t="str">
        <f>IF(Global_Rates!H19="","",Global_Rates!H19)</f>
        <v/>
      </c>
      <c r="I19" s="23" t="str">
        <f>IF(Global_Rates!I19="","",Global_Rates!I19)</f>
        <v/>
      </c>
      <c r="J19" s="29"/>
      <c r="K19" s="33"/>
      <c r="L19" s="29"/>
      <c r="M19" s="23" t="str">
        <f>IF(Global_Rates!J19="","",Global_Rates!J19)</f>
        <v>CAPM</v>
      </c>
    </row>
    <row r="20" spans="1:13" x14ac:dyDescent="0.3">
      <c r="A20" s="23" t="str">
        <f>IF(Global_Rates!A20="","",Global_Rates!A20)</f>
        <v>U.S. Corporate Bond Yield</v>
      </c>
      <c r="B20" s="23" t="str">
        <f>IF(Global_Rates!B20="","",Global_Rates!B20)</f>
        <v>Entity 3</v>
      </c>
      <c r="C20" s="23" t="str">
        <f>IF(Global_Rates!C20="","",Global_Rates!C20)</f>
        <v>United States</v>
      </c>
      <c r="D20" s="23" t="str">
        <f>IF(Global_Rates!D20="","",Global_Rates!D20)</f>
        <v>USD</v>
      </c>
      <c r="E20" s="32">
        <f ca="1">IF(Global_Rates!E20="","",Global_Rates!E20)</f>
        <v>46142</v>
      </c>
      <c r="F20" s="23" t="str">
        <f>IF(Global_Rates!F20="","",Global_Rates!F20)</f>
        <v/>
      </c>
      <c r="G20" s="23" t="str">
        <f>IF(Global_Rates!G20="","",Global_Rates!G20)</f>
        <v/>
      </c>
      <c r="H20" s="23" t="str">
        <f>IF(Global_Rates!H20="","",Global_Rates!H20)</f>
        <v/>
      </c>
      <c r="I20" s="23" t="str">
        <f>IF(Global_Rates!I20="","",Global_Rates!I20)</f>
        <v/>
      </c>
      <c r="J20" s="29"/>
      <c r="K20" s="33"/>
      <c r="L20" s="29"/>
      <c r="M20" s="23" t="str">
        <f>IF(Global_Rates!J20="","",Global_Rates!J20)</f>
        <v>WACC / Loan Readiness</v>
      </c>
    </row>
    <row r="21" spans="1:13" x14ac:dyDescent="0.3">
      <c r="A21" s="23" t="str">
        <f>IF(Global_Rates!A21="","",Global_Rates!A21)</f>
        <v>Beta</v>
      </c>
      <c r="B21" s="23" t="str">
        <f>IF(Global_Rates!B21="","",Global_Rates!B21)</f>
        <v>Entity 3</v>
      </c>
      <c r="C21" s="23" t="str">
        <f>IF(Global_Rates!C21="","",Global_Rates!C21)</f>
        <v>United States</v>
      </c>
      <c r="D21" s="23" t="str">
        <f>IF(Global_Rates!D21="","",Global_Rates!D21)</f>
        <v>USD</v>
      </c>
      <c r="E21" s="32">
        <f ca="1">IF(Global_Rates!E21="","",Global_Rates!E21)</f>
        <v>46142</v>
      </c>
      <c r="F21" s="23" t="str">
        <f>IF(Global_Rates!F21="","",Global_Rates!F21)</f>
        <v/>
      </c>
      <c r="G21" s="23" t="str">
        <f>IF(Global_Rates!G21="","",Global_Rates!G21)</f>
        <v/>
      </c>
      <c r="H21" s="23" t="str">
        <f>IF(Global_Rates!H21="","",Global_Rates!H21)</f>
        <v/>
      </c>
      <c r="I21" s="23" t="str">
        <f>IF(Global_Rates!I21="","",Global_Rates!I21)</f>
        <v/>
      </c>
      <c r="J21" s="29"/>
      <c r="K21" s="33"/>
      <c r="L21" s="29"/>
      <c r="M21" s="23" t="str">
        <f>IF(Global_Rates!J21="","",Global_Rates!J21)</f>
        <v>CAPM</v>
      </c>
    </row>
    <row r="22" spans="1:13" x14ac:dyDescent="0.3">
      <c r="A22" s="23" t="str">
        <f>IF(Global_Rates!A22="","",Global_Rates!A22)</f>
        <v>Local 10-Year Government Bond Yield</v>
      </c>
      <c r="B22" s="23" t="str">
        <f>IF(Global_Rates!B22="","",Global_Rates!B22)</f>
        <v>Entity 3</v>
      </c>
      <c r="C22" s="23" t="str">
        <f>IF(Global_Rates!C22="","",Global_Rates!C22)</f>
        <v/>
      </c>
      <c r="D22" s="23" t="str">
        <f>IF(Global_Rates!D22="","",Global_Rates!D22)</f>
        <v/>
      </c>
      <c r="E22" s="32">
        <f ca="1">IF(Global_Rates!E22="","",Global_Rates!E22)</f>
        <v>46142</v>
      </c>
      <c r="F22" s="23" t="str">
        <f>IF(Global_Rates!F22="","",Global_Rates!F22)</f>
        <v/>
      </c>
      <c r="G22" s="23" t="str">
        <f>IF(Global_Rates!G22="","",Global_Rates!G22)</f>
        <v/>
      </c>
      <c r="H22" s="23" t="str">
        <f>IF(Global_Rates!H22="","",Global_Rates!H22)</f>
        <v/>
      </c>
      <c r="I22" s="23" t="str">
        <f>IF(Global_Rates!I22="","",Global_Rates!I22)</f>
        <v/>
      </c>
      <c r="J22" s="29"/>
      <c r="K22" s="33"/>
      <c r="L22" s="29"/>
      <c r="M22" s="23" t="str">
        <f>IF(Global_Rates!J22="","",Global_Rates!J22)</f>
        <v>WACC / CAPM</v>
      </c>
    </row>
    <row r="23" spans="1:13" x14ac:dyDescent="0.3">
      <c r="A23" s="23" t="str">
        <f>IF(Global_Rates!A23="","",Global_Rates!A23)</f>
        <v>Local Market Risk Premium</v>
      </c>
      <c r="B23" s="23" t="str">
        <f>IF(Global_Rates!B23="","",Global_Rates!B23)</f>
        <v>Entity 3</v>
      </c>
      <c r="C23" s="23" t="str">
        <f>IF(Global_Rates!C23="","",Global_Rates!C23)</f>
        <v/>
      </c>
      <c r="D23" s="23" t="str">
        <f>IF(Global_Rates!D23="","",Global_Rates!D23)</f>
        <v/>
      </c>
      <c r="E23" s="32">
        <f ca="1">IF(Global_Rates!E23="","",Global_Rates!E23)</f>
        <v>46142</v>
      </c>
      <c r="F23" s="23" t="str">
        <f>IF(Global_Rates!F23="","",Global_Rates!F23)</f>
        <v/>
      </c>
      <c r="G23" s="23" t="str">
        <f>IF(Global_Rates!G23="","",Global_Rates!G23)</f>
        <v/>
      </c>
      <c r="H23" s="23" t="str">
        <f>IF(Global_Rates!H23="","",Global_Rates!H23)</f>
        <v/>
      </c>
      <c r="I23" s="23" t="str">
        <f>IF(Global_Rates!I23="","",Global_Rates!I23)</f>
        <v/>
      </c>
      <c r="J23" s="29"/>
      <c r="K23" s="33"/>
      <c r="L23" s="29"/>
      <c r="M23" s="23" t="str">
        <f>IF(Global_Rates!J23="","",Global_Rates!J23)</f>
        <v>CAPM</v>
      </c>
    </row>
    <row r="24" spans="1:13" x14ac:dyDescent="0.3">
      <c r="A24" s="23" t="str">
        <f>IF(Global_Rates!A24="","",Global_Rates!A24)</f>
        <v>Local Corporate Bond Yield</v>
      </c>
      <c r="B24" s="23" t="str">
        <f>IF(Global_Rates!B24="","",Global_Rates!B24)</f>
        <v>Entity 3</v>
      </c>
      <c r="C24" s="23" t="str">
        <f>IF(Global_Rates!C24="","",Global_Rates!C24)</f>
        <v/>
      </c>
      <c r="D24" s="23" t="str">
        <f>IF(Global_Rates!D24="","",Global_Rates!D24)</f>
        <v/>
      </c>
      <c r="E24" s="32">
        <f ca="1">IF(Global_Rates!E24="","",Global_Rates!E24)</f>
        <v>46142</v>
      </c>
      <c r="F24" s="23" t="str">
        <f>IF(Global_Rates!F24="","",Global_Rates!F24)</f>
        <v/>
      </c>
      <c r="G24" s="23" t="str">
        <f>IF(Global_Rates!G24="","",Global_Rates!G24)</f>
        <v/>
      </c>
      <c r="H24" s="23" t="str">
        <f>IF(Global_Rates!H24="","",Global_Rates!H24)</f>
        <v/>
      </c>
      <c r="I24" s="23" t="str">
        <f>IF(Global_Rates!I24="","",Global_Rates!I24)</f>
        <v/>
      </c>
      <c r="J24" s="29"/>
      <c r="K24" s="33"/>
      <c r="L24" s="29"/>
      <c r="M24" s="23" t="str">
        <f>IF(Global_Rates!J24="","",Global_Rates!J24)</f>
        <v>WACC / Loan Readiness</v>
      </c>
    </row>
    <row r="25" spans="1:13" x14ac:dyDescent="0.3">
      <c r="A25" s="23" t="str">
        <f>IF(Global_Rates!A25="","",Global_Rates!A25)</f>
        <v>U.S. 10-Year Treasury</v>
      </c>
      <c r="B25" s="23" t="str">
        <f>IF(Global_Rates!B25="","",Global_Rates!B25)</f>
        <v>Entity 4</v>
      </c>
      <c r="C25" s="23" t="str">
        <f>IF(Global_Rates!C25="","",Global_Rates!C25)</f>
        <v>United States</v>
      </c>
      <c r="D25" s="23" t="str">
        <f>IF(Global_Rates!D25="","",Global_Rates!D25)</f>
        <v>USD</v>
      </c>
      <c r="E25" s="32">
        <f ca="1">IF(Global_Rates!E25="","",Global_Rates!E25)</f>
        <v>46142</v>
      </c>
      <c r="F25" s="23" t="str">
        <f>IF(Global_Rates!F25="","",Global_Rates!F25)</f>
        <v/>
      </c>
      <c r="G25" s="23" t="str">
        <f>IF(Global_Rates!G25="","",Global_Rates!G25)</f>
        <v/>
      </c>
      <c r="H25" s="23" t="str">
        <f>IF(Global_Rates!H25="","",Global_Rates!H25)</f>
        <v/>
      </c>
      <c r="I25" s="23" t="str">
        <f>IF(Global_Rates!I25="","",Global_Rates!I25)</f>
        <v/>
      </c>
      <c r="J25" s="29"/>
      <c r="K25" s="33"/>
      <c r="L25" s="29"/>
      <c r="M25" s="23" t="str">
        <f>IF(Global_Rates!J25="","",Global_Rates!J25)</f>
        <v>WACC / CAPM</v>
      </c>
    </row>
    <row r="26" spans="1:13" x14ac:dyDescent="0.3">
      <c r="A26" s="23" t="str">
        <f>IF(Global_Rates!A26="","",Global_Rates!A26)</f>
        <v>U.S. Market Risk Premium</v>
      </c>
      <c r="B26" s="23" t="str">
        <f>IF(Global_Rates!B26="","",Global_Rates!B26)</f>
        <v>Entity 4</v>
      </c>
      <c r="C26" s="23" t="str">
        <f>IF(Global_Rates!C26="","",Global_Rates!C26)</f>
        <v>United States</v>
      </c>
      <c r="D26" s="23" t="str">
        <f>IF(Global_Rates!D26="","",Global_Rates!D26)</f>
        <v>USD</v>
      </c>
      <c r="E26" s="32">
        <f ca="1">IF(Global_Rates!E26="","",Global_Rates!E26)</f>
        <v>46142</v>
      </c>
      <c r="F26" s="23" t="str">
        <f>IF(Global_Rates!F26="","",Global_Rates!F26)</f>
        <v/>
      </c>
      <c r="G26" s="23" t="str">
        <f>IF(Global_Rates!G26="","",Global_Rates!G26)</f>
        <v/>
      </c>
      <c r="H26" s="23" t="str">
        <f>IF(Global_Rates!H26="","",Global_Rates!H26)</f>
        <v/>
      </c>
      <c r="I26" s="23" t="str">
        <f>IF(Global_Rates!I26="","",Global_Rates!I26)</f>
        <v/>
      </c>
      <c r="J26" s="29"/>
      <c r="K26" s="33"/>
      <c r="L26" s="29"/>
      <c r="M26" s="23" t="str">
        <f>IF(Global_Rates!J26="","",Global_Rates!J26)</f>
        <v>CAPM</v>
      </c>
    </row>
    <row r="27" spans="1:13" x14ac:dyDescent="0.3">
      <c r="A27" s="23" t="str">
        <f>IF(Global_Rates!A27="","",Global_Rates!A27)</f>
        <v>U.S. Corporate Bond Yield</v>
      </c>
      <c r="B27" s="23" t="str">
        <f>IF(Global_Rates!B27="","",Global_Rates!B27)</f>
        <v>Entity 4</v>
      </c>
      <c r="C27" s="23" t="str">
        <f>IF(Global_Rates!C27="","",Global_Rates!C27)</f>
        <v>United States</v>
      </c>
      <c r="D27" s="23" t="str">
        <f>IF(Global_Rates!D27="","",Global_Rates!D27)</f>
        <v>USD</v>
      </c>
      <c r="E27" s="32">
        <f ca="1">IF(Global_Rates!E27="","",Global_Rates!E27)</f>
        <v>46142</v>
      </c>
      <c r="F27" s="23" t="str">
        <f>IF(Global_Rates!F27="","",Global_Rates!F27)</f>
        <v/>
      </c>
      <c r="G27" s="23" t="str">
        <f>IF(Global_Rates!G27="","",Global_Rates!G27)</f>
        <v/>
      </c>
      <c r="H27" s="23" t="str">
        <f>IF(Global_Rates!H27="","",Global_Rates!H27)</f>
        <v/>
      </c>
      <c r="I27" s="23" t="str">
        <f>IF(Global_Rates!I27="","",Global_Rates!I27)</f>
        <v/>
      </c>
      <c r="J27" s="29"/>
      <c r="K27" s="33"/>
      <c r="L27" s="29"/>
      <c r="M27" s="23" t="str">
        <f>IF(Global_Rates!J27="","",Global_Rates!J27)</f>
        <v>WACC / Loan Readiness</v>
      </c>
    </row>
    <row r="28" spans="1:13" x14ac:dyDescent="0.3">
      <c r="A28" s="23" t="str">
        <f>IF(Global_Rates!A28="","",Global_Rates!A28)</f>
        <v>Beta</v>
      </c>
      <c r="B28" s="23" t="str">
        <f>IF(Global_Rates!B28="","",Global_Rates!B28)</f>
        <v>Entity 4</v>
      </c>
      <c r="C28" s="23" t="str">
        <f>IF(Global_Rates!C28="","",Global_Rates!C28)</f>
        <v>United States</v>
      </c>
      <c r="D28" s="23" t="str">
        <f>IF(Global_Rates!D28="","",Global_Rates!D28)</f>
        <v>USD</v>
      </c>
      <c r="E28" s="32">
        <f ca="1">IF(Global_Rates!E28="","",Global_Rates!E28)</f>
        <v>46142</v>
      </c>
      <c r="F28" s="23" t="str">
        <f>IF(Global_Rates!F28="","",Global_Rates!F28)</f>
        <v/>
      </c>
      <c r="G28" s="23" t="str">
        <f>IF(Global_Rates!G28="","",Global_Rates!G28)</f>
        <v/>
      </c>
      <c r="H28" s="23" t="str">
        <f>IF(Global_Rates!H28="","",Global_Rates!H28)</f>
        <v/>
      </c>
      <c r="I28" s="23" t="str">
        <f>IF(Global_Rates!I28="","",Global_Rates!I28)</f>
        <v/>
      </c>
      <c r="J28" s="29"/>
      <c r="K28" s="33"/>
      <c r="L28" s="29"/>
      <c r="M28" s="23" t="str">
        <f>IF(Global_Rates!J28="","",Global_Rates!J28)</f>
        <v>CAPM</v>
      </c>
    </row>
    <row r="29" spans="1:13" x14ac:dyDescent="0.3">
      <c r="A29" s="23" t="str">
        <f>IF(Global_Rates!A29="","",Global_Rates!A29)</f>
        <v>Local 10-Year Government Bond Yield</v>
      </c>
      <c r="B29" s="23" t="str">
        <f>IF(Global_Rates!B29="","",Global_Rates!B29)</f>
        <v>Entity 4</v>
      </c>
      <c r="C29" s="23" t="str">
        <f>IF(Global_Rates!C29="","",Global_Rates!C29)</f>
        <v/>
      </c>
      <c r="D29" s="23" t="str">
        <f>IF(Global_Rates!D29="","",Global_Rates!D29)</f>
        <v/>
      </c>
      <c r="E29" s="32">
        <f ca="1">IF(Global_Rates!E29="","",Global_Rates!E29)</f>
        <v>46142</v>
      </c>
      <c r="F29" s="23" t="str">
        <f>IF(Global_Rates!F29="","",Global_Rates!F29)</f>
        <v/>
      </c>
      <c r="G29" s="23" t="str">
        <f>IF(Global_Rates!G29="","",Global_Rates!G29)</f>
        <v/>
      </c>
      <c r="H29" s="23" t="str">
        <f>IF(Global_Rates!H29="","",Global_Rates!H29)</f>
        <v/>
      </c>
      <c r="I29" s="23" t="str">
        <f>IF(Global_Rates!I29="","",Global_Rates!I29)</f>
        <v/>
      </c>
      <c r="J29" s="29"/>
      <c r="K29" s="33"/>
      <c r="L29" s="29"/>
      <c r="M29" s="23" t="str">
        <f>IF(Global_Rates!J29="","",Global_Rates!J29)</f>
        <v>WACC / CAPM</v>
      </c>
    </row>
    <row r="30" spans="1:13" x14ac:dyDescent="0.3">
      <c r="A30" s="23" t="str">
        <f>IF(Global_Rates!A30="","",Global_Rates!A30)</f>
        <v>Local Market Risk Premium</v>
      </c>
      <c r="B30" s="23" t="str">
        <f>IF(Global_Rates!B30="","",Global_Rates!B30)</f>
        <v>Entity 4</v>
      </c>
      <c r="C30" s="23" t="str">
        <f>IF(Global_Rates!C30="","",Global_Rates!C30)</f>
        <v/>
      </c>
      <c r="D30" s="23" t="str">
        <f>IF(Global_Rates!D30="","",Global_Rates!D30)</f>
        <v/>
      </c>
      <c r="E30" s="32">
        <f ca="1">IF(Global_Rates!E30="","",Global_Rates!E30)</f>
        <v>46142</v>
      </c>
      <c r="F30" s="23" t="str">
        <f>IF(Global_Rates!F30="","",Global_Rates!F30)</f>
        <v/>
      </c>
      <c r="G30" s="23" t="str">
        <f>IF(Global_Rates!G30="","",Global_Rates!G30)</f>
        <v/>
      </c>
      <c r="H30" s="23" t="str">
        <f>IF(Global_Rates!H30="","",Global_Rates!H30)</f>
        <v/>
      </c>
      <c r="I30" s="23" t="str">
        <f>IF(Global_Rates!I30="","",Global_Rates!I30)</f>
        <v/>
      </c>
      <c r="J30" s="29"/>
      <c r="K30" s="33"/>
      <c r="L30" s="29"/>
      <c r="M30" s="23" t="str">
        <f>IF(Global_Rates!J30="","",Global_Rates!J30)</f>
        <v>CAPM</v>
      </c>
    </row>
    <row r="31" spans="1:13" x14ac:dyDescent="0.3">
      <c r="A31" s="23" t="str">
        <f>IF(Global_Rates!A31="","",Global_Rates!A31)</f>
        <v>Local Corporate Bond Yield</v>
      </c>
      <c r="B31" s="23" t="str">
        <f>IF(Global_Rates!B31="","",Global_Rates!B31)</f>
        <v>Entity 4</v>
      </c>
      <c r="C31" s="23" t="str">
        <f>IF(Global_Rates!C31="","",Global_Rates!C31)</f>
        <v/>
      </c>
      <c r="D31" s="23" t="str">
        <f>IF(Global_Rates!D31="","",Global_Rates!D31)</f>
        <v/>
      </c>
      <c r="E31" s="32">
        <f ca="1">IF(Global_Rates!E31="","",Global_Rates!E31)</f>
        <v>46142</v>
      </c>
      <c r="F31" s="23" t="str">
        <f>IF(Global_Rates!F31="","",Global_Rates!F31)</f>
        <v/>
      </c>
      <c r="G31" s="23" t="str">
        <f>IF(Global_Rates!G31="","",Global_Rates!G31)</f>
        <v/>
      </c>
      <c r="H31" s="23" t="str">
        <f>IF(Global_Rates!H31="","",Global_Rates!H31)</f>
        <v/>
      </c>
      <c r="I31" s="23" t="str">
        <f>IF(Global_Rates!I31="","",Global_Rates!I31)</f>
        <v/>
      </c>
      <c r="J31" s="29"/>
      <c r="K31" s="33"/>
      <c r="L31" s="29"/>
      <c r="M31" s="23" t="str">
        <f>IF(Global_Rates!J31="","",Global_Rates!J31)</f>
        <v>WACC / Loan Readiness</v>
      </c>
    </row>
    <row r="32" spans="1:13" x14ac:dyDescent="0.3">
      <c r="A32" s="23" t="str">
        <f>IF(Global_Rates!A32="","",Global_Rates!A32)</f>
        <v>U.S. 10-Year Treasury</v>
      </c>
      <c r="B32" s="23" t="str">
        <f>IF(Global_Rates!B32="","",Global_Rates!B32)</f>
        <v>Entity 5</v>
      </c>
      <c r="C32" s="23" t="str">
        <f>IF(Global_Rates!C32="","",Global_Rates!C32)</f>
        <v>United States</v>
      </c>
      <c r="D32" s="23" t="str">
        <f>IF(Global_Rates!D32="","",Global_Rates!D32)</f>
        <v>USD</v>
      </c>
      <c r="E32" s="32">
        <f ca="1">IF(Global_Rates!E32="","",Global_Rates!E32)</f>
        <v>46142</v>
      </c>
      <c r="F32" s="23" t="str">
        <f>IF(Global_Rates!F32="","",Global_Rates!F32)</f>
        <v/>
      </c>
      <c r="G32" s="23" t="str">
        <f>IF(Global_Rates!G32="","",Global_Rates!G32)</f>
        <v/>
      </c>
      <c r="H32" s="23" t="str">
        <f>IF(Global_Rates!H32="","",Global_Rates!H32)</f>
        <v/>
      </c>
      <c r="I32" s="23" t="str">
        <f>IF(Global_Rates!I32="","",Global_Rates!I32)</f>
        <v/>
      </c>
      <c r="J32" s="29"/>
      <c r="K32" s="33"/>
      <c r="L32" s="29"/>
      <c r="M32" s="23" t="str">
        <f>IF(Global_Rates!J32="","",Global_Rates!J32)</f>
        <v>WACC / CAPM</v>
      </c>
    </row>
    <row r="33" spans="1:13" x14ac:dyDescent="0.3">
      <c r="A33" s="23" t="str">
        <f>IF(Global_Rates!A33="","",Global_Rates!A33)</f>
        <v>U.S. Market Risk Premium</v>
      </c>
      <c r="B33" s="23" t="str">
        <f>IF(Global_Rates!B33="","",Global_Rates!B33)</f>
        <v>Entity 5</v>
      </c>
      <c r="C33" s="23" t="str">
        <f>IF(Global_Rates!C33="","",Global_Rates!C33)</f>
        <v>United States</v>
      </c>
      <c r="D33" s="23" t="str">
        <f>IF(Global_Rates!D33="","",Global_Rates!D33)</f>
        <v>USD</v>
      </c>
      <c r="E33" s="32">
        <f ca="1">IF(Global_Rates!E33="","",Global_Rates!E33)</f>
        <v>46142</v>
      </c>
      <c r="F33" s="23" t="str">
        <f>IF(Global_Rates!F33="","",Global_Rates!F33)</f>
        <v/>
      </c>
      <c r="G33" s="23" t="str">
        <f>IF(Global_Rates!G33="","",Global_Rates!G33)</f>
        <v/>
      </c>
      <c r="H33" s="23" t="str">
        <f>IF(Global_Rates!H33="","",Global_Rates!H33)</f>
        <v/>
      </c>
      <c r="I33" s="23" t="str">
        <f>IF(Global_Rates!I33="","",Global_Rates!I33)</f>
        <v/>
      </c>
      <c r="J33" s="29"/>
      <c r="K33" s="33"/>
      <c r="L33" s="29"/>
      <c r="M33" s="23" t="str">
        <f>IF(Global_Rates!J33="","",Global_Rates!J33)</f>
        <v>CAPM</v>
      </c>
    </row>
    <row r="34" spans="1:13" x14ac:dyDescent="0.3">
      <c r="A34" s="23" t="str">
        <f>IF(Global_Rates!A34="","",Global_Rates!A34)</f>
        <v>U.S. Corporate Bond Yield</v>
      </c>
      <c r="B34" s="23" t="str">
        <f>IF(Global_Rates!B34="","",Global_Rates!B34)</f>
        <v>Entity 5</v>
      </c>
      <c r="C34" s="23" t="str">
        <f>IF(Global_Rates!C34="","",Global_Rates!C34)</f>
        <v>United States</v>
      </c>
      <c r="D34" s="23" t="str">
        <f>IF(Global_Rates!D34="","",Global_Rates!D34)</f>
        <v>USD</v>
      </c>
      <c r="E34" s="32">
        <f ca="1">IF(Global_Rates!E34="","",Global_Rates!E34)</f>
        <v>46142</v>
      </c>
      <c r="F34" s="23" t="str">
        <f>IF(Global_Rates!F34="","",Global_Rates!F34)</f>
        <v/>
      </c>
      <c r="G34" s="23" t="str">
        <f>IF(Global_Rates!G34="","",Global_Rates!G34)</f>
        <v/>
      </c>
      <c r="H34" s="23" t="str">
        <f>IF(Global_Rates!H34="","",Global_Rates!H34)</f>
        <v/>
      </c>
      <c r="I34" s="23" t="str">
        <f>IF(Global_Rates!I34="","",Global_Rates!I34)</f>
        <v/>
      </c>
      <c r="J34" s="29"/>
      <c r="K34" s="33"/>
      <c r="L34" s="29"/>
      <c r="M34" s="23" t="str">
        <f>IF(Global_Rates!J34="","",Global_Rates!J34)</f>
        <v>WACC / Loan Readiness</v>
      </c>
    </row>
    <row r="35" spans="1:13" x14ac:dyDescent="0.3">
      <c r="A35" s="23" t="str">
        <f>IF(Global_Rates!A35="","",Global_Rates!A35)</f>
        <v>Beta</v>
      </c>
      <c r="B35" s="23" t="str">
        <f>IF(Global_Rates!B35="","",Global_Rates!B35)</f>
        <v>Entity 5</v>
      </c>
      <c r="C35" s="23" t="str">
        <f>IF(Global_Rates!C35="","",Global_Rates!C35)</f>
        <v>United States</v>
      </c>
      <c r="D35" s="23" t="str">
        <f>IF(Global_Rates!D35="","",Global_Rates!D35)</f>
        <v>USD</v>
      </c>
      <c r="E35" s="32">
        <f ca="1">IF(Global_Rates!E35="","",Global_Rates!E35)</f>
        <v>46142</v>
      </c>
      <c r="F35" s="23" t="str">
        <f>IF(Global_Rates!F35="","",Global_Rates!F35)</f>
        <v/>
      </c>
      <c r="G35" s="23" t="str">
        <f>IF(Global_Rates!G35="","",Global_Rates!G35)</f>
        <v/>
      </c>
      <c r="H35" s="23" t="str">
        <f>IF(Global_Rates!H35="","",Global_Rates!H35)</f>
        <v/>
      </c>
      <c r="I35" s="23" t="str">
        <f>IF(Global_Rates!I35="","",Global_Rates!I35)</f>
        <v/>
      </c>
      <c r="J35" s="29"/>
      <c r="K35" s="33"/>
      <c r="L35" s="29"/>
      <c r="M35" s="23" t="str">
        <f>IF(Global_Rates!J35="","",Global_Rates!J35)</f>
        <v>CAPM</v>
      </c>
    </row>
    <row r="36" spans="1:13" x14ac:dyDescent="0.3">
      <c r="A36" s="23" t="str">
        <f>IF(Global_Rates!A36="","",Global_Rates!A36)</f>
        <v>Local 10-Year Government Bond Yield</v>
      </c>
      <c r="B36" s="23" t="str">
        <f>IF(Global_Rates!B36="","",Global_Rates!B36)</f>
        <v>Entity 5</v>
      </c>
      <c r="C36" s="23" t="str">
        <f>IF(Global_Rates!C36="","",Global_Rates!C36)</f>
        <v/>
      </c>
      <c r="D36" s="23" t="str">
        <f>IF(Global_Rates!D36="","",Global_Rates!D36)</f>
        <v/>
      </c>
      <c r="E36" s="32">
        <f ca="1">IF(Global_Rates!E36="","",Global_Rates!E36)</f>
        <v>46142</v>
      </c>
      <c r="F36" s="23" t="str">
        <f>IF(Global_Rates!F36="","",Global_Rates!F36)</f>
        <v/>
      </c>
      <c r="G36" s="23" t="str">
        <f>IF(Global_Rates!G36="","",Global_Rates!G36)</f>
        <v/>
      </c>
      <c r="H36" s="23" t="str">
        <f>IF(Global_Rates!H36="","",Global_Rates!H36)</f>
        <v/>
      </c>
      <c r="I36" s="23" t="str">
        <f>IF(Global_Rates!I36="","",Global_Rates!I36)</f>
        <v/>
      </c>
      <c r="J36" s="29"/>
      <c r="K36" s="33"/>
      <c r="L36" s="29"/>
      <c r="M36" s="23" t="str">
        <f>IF(Global_Rates!J36="","",Global_Rates!J36)</f>
        <v>WACC / CAPM</v>
      </c>
    </row>
    <row r="37" spans="1:13" x14ac:dyDescent="0.3">
      <c r="A37" s="23" t="str">
        <f>IF(Global_Rates!A37="","",Global_Rates!A37)</f>
        <v>Local Market Risk Premium</v>
      </c>
      <c r="B37" s="23" t="str">
        <f>IF(Global_Rates!B37="","",Global_Rates!B37)</f>
        <v>Entity 5</v>
      </c>
      <c r="C37" s="23" t="str">
        <f>IF(Global_Rates!C37="","",Global_Rates!C37)</f>
        <v/>
      </c>
      <c r="D37" s="23" t="str">
        <f>IF(Global_Rates!D37="","",Global_Rates!D37)</f>
        <v/>
      </c>
      <c r="E37" s="32">
        <f ca="1">IF(Global_Rates!E37="","",Global_Rates!E37)</f>
        <v>46142</v>
      </c>
      <c r="F37" s="23" t="str">
        <f>IF(Global_Rates!F37="","",Global_Rates!F37)</f>
        <v/>
      </c>
      <c r="G37" s="23" t="str">
        <f>IF(Global_Rates!G37="","",Global_Rates!G37)</f>
        <v/>
      </c>
      <c r="H37" s="23" t="str">
        <f>IF(Global_Rates!H37="","",Global_Rates!H37)</f>
        <v/>
      </c>
      <c r="I37" s="23" t="str">
        <f>IF(Global_Rates!I37="","",Global_Rates!I37)</f>
        <v/>
      </c>
      <c r="J37" s="29"/>
      <c r="K37" s="33"/>
      <c r="L37" s="29"/>
      <c r="M37" s="23" t="str">
        <f>IF(Global_Rates!J37="","",Global_Rates!J37)</f>
        <v>CAPM</v>
      </c>
    </row>
    <row r="38" spans="1:13" x14ac:dyDescent="0.3">
      <c r="A38" s="23" t="str">
        <f>IF(Global_Rates!A38="","",Global_Rates!A38)</f>
        <v>Local Corporate Bond Yield</v>
      </c>
      <c r="B38" s="23" t="str">
        <f>IF(Global_Rates!B38="","",Global_Rates!B38)</f>
        <v>Entity 5</v>
      </c>
      <c r="C38" s="23" t="str">
        <f>IF(Global_Rates!C38="","",Global_Rates!C38)</f>
        <v/>
      </c>
      <c r="D38" s="23" t="str">
        <f>IF(Global_Rates!D38="","",Global_Rates!D38)</f>
        <v/>
      </c>
      <c r="E38" s="32">
        <f ca="1">IF(Global_Rates!E38="","",Global_Rates!E38)</f>
        <v>46142</v>
      </c>
      <c r="F38" s="23" t="str">
        <f>IF(Global_Rates!F38="","",Global_Rates!F38)</f>
        <v/>
      </c>
      <c r="G38" s="23" t="str">
        <f>IF(Global_Rates!G38="","",Global_Rates!G38)</f>
        <v/>
      </c>
      <c r="H38" s="23" t="str">
        <f>IF(Global_Rates!H38="","",Global_Rates!H38)</f>
        <v/>
      </c>
      <c r="I38" s="23" t="str">
        <f>IF(Global_Rates!I38="","",Global_Rates!I38)</f>
        <v/>
      </c>
      <c r="J38" s="29"/>
      <c r="K38" s="33"/>
      <c r="L38" s="29"/>
      <c r="M38" s="23" t="str">
        <f>IF(Global_Rates!J38="","",Global_Rates!J38)</f>
        <v>WACC / Loan Readiness</v>
      </c>
    </row>
    <row r="39" spans="1:13" x14ac:dyDescent="0.3">
      <c r="A39" s="23" t="str">
        <f>IF(Global_Rates!A39="","",Global_Rates!A39)</f>
        <v>U.S. 10-Year Treasury</v>
      </c>
      <c r="B39" s="23" t="str">
        <f>IF(Global_Rates!B39="","",Global_Rates!B39)</f>
        <v>Entity 6</v>
      </c>
      <c r="C39" s="23" t="str">
        <f>IF(Global_Rates!C39="","",Global_Rates!C39)</f>
        <v>United States</v>
      </c>
      <c r="D39" s="23" t="str">
        <f>IF(Global_Rates!D39="","",Global_Rates!D39)</f>
        <v>USD</v>
      </c>
      <c r="E39" s="32">
        <f ca="1">IF(Global_Rates!E39="","",Global_Rates!E39)</f>
        <v>46142</v>
      </c>
      <c r="F39" s="23" t="str">
        <f>IF(Global_Rates!F39="","",Global_Rates!F39)</f>
        <v/>
      </c>
      <c r="G39" s="23" t="str">
        <f>IF(Global_Rates!G39="","",Global_Rates!G39)</f>
        <v/>
      </c>
      <c r="H39" s="23" t="str">
        <f>IF(Global_Rates!H39="","",Global_Rates!H39)</f>
        <v/>
      </c>
      <c r="I39" s="23" t="str">
        <f>IF(Global_Rates!I39="","",Global_Rates!I39)</f>
        <v/>
      </c>
      <c r="J39" s="29"/>
      <c r="K39" s="33"/>
      <c r="L39" s="29"/>
      <c r="M39" s="23" t="str">
        <f>IF(Global_Rates!J39="","",Global_Rates!J39)</f>
        <v>WACC / CAPM</v>
      </c>
    </row>
    <row r="40" spans="1:13" x14ac:dyDescent="0.3">
      <c r="A40" s="23" t="str">
        <f>IF(Global_Rates!A40="","",Global_Rates!A40)</f>
        <v>U.S. Market Risk Premium</v>
      </c>
      <c r="B40" s="23" t="str">
        <f>IF(Global_Rates!B40="","",Global_Rates!B40)</f>
        <v>Entity 6</v>
      </c>
      <c r="C40" s="23" t="str">
        <f>IF(Global_Rates!C40="","",Global_Rates!C40)</f>
        <v>United States</v>
      </c>
      <c r="D40" s="23" t="str">
        <f>IF(Global_Rates!D40="","",Global_Rates!D40)</f>
        <v>USD</v>
      </c>
      <c r="E40" s="32">
        <f ca="1">IF(Global_Rates!E40="","",Global_Rates!E40)</f>
        <v>46142</v>
      </c>
      <c r="F40" s="23" t="str">
        <f>IF(Global_Rates!F40="","",Global_Rates!F40)</f>
        <v/>
      </c>
      <c r="G40" s="23" t="str">
        <f>IF(Global_Rates!G40="","",Global_Rates!G40)</f>
        <v/>
      </c>
      <c r="H40" s="23" t="str">
        <f>IF(Global_Rates!H40="","",Global_Rates!H40)</f>
        <v/>
      </c>
      <c r="I40" s="23" t="str">
        <f>IF(Global_Rates!I40="","",Global_Rates!I40)</f>
        <v/>
      </c>
      <c r="J40" s="29"/>
      <c r="K40" s="33"/>
      <c r="L40" s="29"/>
      <c r="M40" s="23" t="str">
        <f>IF(Global_Rates!J40="","",Global_Rates!J40)</f>
        <v>CAPM</v>
      </c>
    </row>
    <row r="41" spans="1:13" x14ac:dyDescent="0.3">
      <c r="A41" s="23" t="str">
        <f>IF(Global_Rates!A41="","",Global_Rates!A41)</f>
        <v>U.S. Corporate Bond Yield</v>
      </c>
      <c r="B41" s="23" t="str">
        <f>IF(Global_Rates!B41="","",Global_Rates!B41)</f>
        <v>Entity 6</v>
      </c>
      <c r="C41" s="23" t="str">
        <f>IF(Global_Rates!C41="","",Global_Rates!C41)</f>
        <v>United States</v>
      </c>
      <c r="D41" s="23" t="str">
        <f>IF(Global_Rates!D41="","",Global_Rates!D41)</f>
        <v>USD</v>
      </c>
      <c r="E41" s="32">
        <f ca="1">IF(Global_Rates!E41="","",Global_Rates!E41)</f>
        <v>46142</v>
      </c>
      <c r="F41" s="23" t="str">
        <f>IF(Global_Rates!F41="","",Global_Rates!F41)</f>
        <v/>
      </c>
      <c r="G41" s="23" t="str">
        <f>IF(Global_Rates!G41="","",Global_Rates!G41)</f>
        <v/>
      </c>
      <c r="H41" s="23" t="str">
        <f>IF(Global_Rates!H41="","",Global_Rates!H41)</f>
        <v/>
      </c>
      <c r="I41" s="23" t="str">
        <f>IF(Global_Rates!I41="","",Global_Rates!I41)</f>
        <v/>
      </c>
      <c r="J41" s="29"/>
      <c r="K41" s="33"/>
      <c r="L41" s="29"/>
      <c r="M41" s="23" t="str">
        <f>IF(Global_Rates!J41="","",Global_Rates!J41)</f>
        <v>WACC / Loan Readiness</v>
      </c>
    </row>
    <row r="42" spans="1:13" x14ac:dyDescent="0.3">
      <c r="A42" s="23" t="str">
        <f>IF(Global_Rates!A42="","",Global_Rates!A42)</f>
        <v>Beta</v>
      </c>
      <c r="B42" s="23" t="str">
        <f>IF(Global_Rates!B42="","",Global_Rates!B42)</f>
        <v>Entity 6</v>
      </c>
      <c r="C42" s="23" t="str">
        <f>IF(Global_Rates!C42="","",Global_Rates!C42)</f>
        <v>United States</v>
      </c>
      <c r="D42" s="23" t="str">
        <f>IF(Global_Rates!D42="","",Global_Rates!D42)</f>
        <v>USD</v>
      </c>
      <c r="E42" s="32">
        <f ca="1">IF(Global_Rates!E42="","",Global_Rates!E42)</f>
        <v>46142</v>
      </c>
      <c r="F42" s="23" t="str">
        <f>IF(Global_Rates!F42="","",Global_Rates!F42)</f>
        <v/>
      </c>
      <c r="G42" s="23" t="str">
        <f>IF(Global_Rates!G42="","",Global_Rates!G42)</f>
        <v/>
      </c>
      <c r="H42" s="23" t="str">
        <f>IF(Global_Rates!H42="","",Global_Rates!H42)</f>
        <v/>
      </c>
      <c r="I42" s="23" t="str">
        <f>IF(Global_Rates!I42="","",Global_Rates!I42)</f>
        <v/>
      </c>
      <c r="J42" s="29"/>
      <c r="K42" s="33"/>
      <c r="L42" s="29"/>
      <c r="M42" s="23" t="str">
        <f>IF(Global_Rates!J42="","",Global_Rates!J42)</f>
        <v>CAPM</v>
      </c>
    </row>
    <row r="43" spans="1:13" x14ac:dyDescent="0.3">
      <c r="A43" s="23" t="str">
        <f>IF(Global_Rates!A43="","",Global_Rates!A43)</f>
        <v>Local 10-Year Government Bond Yield</v>
      </c>
      <c r="B43" s="23" t="str">
        <f>IF(Global_Rates!B43="","",Global_Rates!B43)</f>
        <v>Entity 6</v>
      </c>
      <c r="C43" s="23" t="str">
        <f>IF(Global_Rates!C43="","",Global_Rates!C43)</f>
        <v/>
      </c>
      <c r="D43" s="23" t="str">
        <f>IF(Global_Rates!D43="","",Global_Rates!D43)</f>
        <v/>
      </c>
      <c r="E43" s="32">
        <f ca="1">IF(Global_Rates!E43="","",Global_Rates!E43)</f>
        <v>46142</v>
      </c>
      <c r="F43" s="23" t="str">
        <f>IF(Global_Rates!F43="","",Global_Rates!F43)</f>
        <v/>
      </c>
      <c r="G43" s="23" t="str">
        <f>IF(Global_Rates!G43="","",Global_Rates!G43)</f>
        <v/>
      </c>
      <c r="H43" s="23" t="str">
        <f>IF(Global_Rates!H43="","",Global_Rates!H43)</f>
        <v/>
      </c>
      <c r="I43" s="23" t="str">
        <f>IF(Global_Rates!I43="","",Global_Rates!I43)</f>
        <v/>
      </c>
      <c r="J43" s="29"/>
      <c r="K43" s="33"/>
      <c r="L43" s="29"/>
      <c r="M43" s="23" t="str">
        <f>IF(Global_Rates!J43="","",Global_Rates!J43)</f>
        <v>WACC / CAPM</v>
      </c>
    </row>
    <row r="44" spans="1:13" x14ac:dyDescent="0.3">
      <c r="A44" s="23" t="str">
        <f>IF(Global_Rates!A44="","",Global_Rates!A44)</f>
        <v>Local Market Risk Premium</v>
      </c>
      <c r="B44" s="23" t="str">
        <f>IF(Global_Rates!B44="","",Global_Rates!B44)</f>
        <v>Entity 6</v>
      </c>
      <c r="C44" s="23" t="str">
        <f>IF(Global_Rates!C44="","",Global_Rates!C44)</f>
        <v/>
      </c>
      <c r="D44" s="23" t="str">
        <f>IF(Global_Rates!D44="","",Global_Rates!D44)</f>
        <v/>
      </c>
      <c r="E44" s="32">
        <f ca="1">IF(Global_Rates!E44="","",Global_Rates!E44)</f>
        <v>46142</v>
      </c>
      <c r="F44" s="23" t="str">
        <f>IF(Global_Rates!F44="","",Global_Rates!F44)</f>
        <v/>
      </c>
      <c r="G44" s="23" t="str">
        <f>IF(Global_Rates!G44="","",Global_Rates!G44)</f>
        <v/>
      </c>
      <c r="H44" s="23" t="str">
        <f>IF(Global_Rates!H44="","",Global_Rates!H44)</f>
        <v/>
      </c>
      <c r="I44" s="23" t="str">
        <f>IF(Global_Rates!I44="","",Global_Rates!I44)</f>
        <v/>
      </c>
      <c r="J44" s="29"/>
      <c r="K44" s="33"/>
      <c r="L44" s="29"/>
      <c r="M44" s="23" t="str">
        <f>IF(Global_Rates!J44="","",Global_Rates!J44)</f>
        <v>CAPM</v>
      </c>
    </row>
    <row r="45" spans="1:13" x14ac:dyDescent="0.3">
      <c r="A45" s="23" t="str">
        <f>IF(Global_Rates!A45="","",Global_Rates!A45)</f>
        <v>Local Corporate Bond Yield</v>
      </c>
      <c r="B45" s="23" t="str">
        <f>IF(Global_Rates!B45="","",Global_Rates!B45)</f>
        <v>Entity 6</v>
      </c>
      <c r="C45" s="23" t="str">
        <f>IF(Global_Rates!C45="","",Global_Rates!C45)</f>
        <v/>
      </c>
      <c r="D45" s="23" t="str">
        <f>IF(Global_Rates!D45="","",Global_Rates!D45)</f>
        <v/>
      </c>
      <c r="E45" s="32">
        <f ca="1">IF(Global_Rates!E45="","",Global_Rates!E45)</f>
        <v>46142</v>
      </c>
      <c r="F45" s="23" t="str">
        <f>IF(Global_Rates!F45="","",Global_Rates!F45)</f>
        <v/>
      </c>
      <c r="G45" s="23" t="str">
        <f>IF(Global_Rates!G45="","",Global_Rates!G45)</f>
        <v/>
      </c>
      <c r="H45" s="23" t="str">
        <f>IF(Global_Rates!H45="","",Global_Rates!H45)</f>
        <v/>
      </c>
      <c r="I45" s="23" t="str">
        <f>IF(Global_Rates!I45="","",Global_Rates!I45)</f>
        <v/>
      </c>
      <c r="J45" s="29"/>
      <c r="K45" s="33"/>
      <c r="L45" s="29"/>
      <c r="M45" s="23" t="str">
        <f>IF(Global_Rates!J45="","",Global_Rates!J45)</f>
        <v>WACC / Loan Readiness</v>
      </c>
    </row>
    <row r="46" spans="1:13" x14ac:dyDescent="0.3">
      <c r="A46" s="23" t="str">
        <f>IF(Global_Rates!A46="","",Global_Rates!A46)</f>
        <v>U.S. 10-Year Treasury</v>
      </c>
      <c r="B46" s="23" t="str">
        <f>IF(Global_Rates!B46="","",Global_Rates!B46)</f>
        <v>Entity 7</v>
      </c>
      <c r="C46" s="23" t="str">
        <f>IF(Global_Rates!C46="","",Global_Rates!C46)</f>
        <v>United States</v>
      </c>
      <c r="D46" s="23" t="str">
        <f>IF(Global_Rates!D46="","",Global_Rates!D46)</f>
        <v>USD</v>
      </c>
      <c r="E46" s="32">
        <f ca="1">IF(Global_Rates!E46="","",Global_Rates!E46)</f>
        <v>46142</v>
      </c>
      <c r="F46" s="23" t="str">
        <f>IF(Global_Rates!F46="","",Global_Rates!F46)</f>
        <v/>
      </c>
      <c r="G46" s="23" t="str">
        <f>IF(Global_Rates!G46="","",Global_Rates!G46)</f>
        <v/>
      </c>
      <c r="H46" s="23" t="str">
        <f>IF(Global_Rates!H46="","",Global_Rates!H46)</f>
        <v/>
      </c>
      <c r="I46" s="23" t="str">
        <f>IF(Global_Rates!I46="","",Global_Rates!I46)</f>
        <v/>
      </c>
      <c r="J46" s="29"/>
      <c r="K46" s="33"/>
      <c r="L46" s="29"/>
      <c r="M46" s="23" t="str">
        <f>IF(Global_Rates!J46="","",Global_Rates!J46)</f>
        <v>WACC / CAPM</v>
      </c>
    </row>
    <row r="47" spans="1:13" x14ac:dyDescent="0.3">
      <c r="A47" s="23" t="str">
        <f>IF(Global_Rates!A47="","",Global_Rates!A47)</f>
        <v>U.S. Market Risk Premium</v>
      </c>
      <c r="B47" s="23" t="str">
        <f>IF(Global_Rates!B47="","",Global_Rates!B47)</f>
        <v>Entity 7</v>
      </c>
      <c r="C47" s="23" t="str">
        <f>IF(Global_Rates!C47="","",Global_Rates!C47)</f>
        <v>United States</v>
      </c>
      <c r="D47" s="23" t="str">
        <f>IF(Global_Rates!D47="","",Global_Rates!D47)</f>
        <v>USD</v>
      </c>
      <c r="E47" s="32">
        <f ca="1">IF(Global_Rates!E47="","",Global_Rates!E47)</f>
        <v>46142</v>
      </c>
      <c r="F47" s="23" t="str">
        <f>IF(Global_Rates!F47="","",Global_Rates!F47)</f>
        <v/>
      </c>
      <c r="G47" s="23" t="str">
        <f>IF(Global_Rates!G47="","",Global_Rates!G47)</f>
        <v/>
      </c>
      <c r="H47" s="23" t="str">
        <f>IF(Global_Rates!H47="","",Global_Rates!H47)</f>
        <v/>
      </c>
      <c r="I47" s="23" t="str">
        <f>IF(Global_Rates!I47="","",Global_Rates!I47)</f>
        <v/>
      </c>
      <c r="J47" s="29"/>
      <c r="K47" s="33"/>
      <c r="L47" s="29"/>
      <c r="M47" s="23" t="str">
        <f>IF(Global_Rates!J47="","",Global_Rates!J47)</f>
        <v>CAPM</v>
      </c>
    </row>
    <row r="48" spans="1:13" x14ac:dyDescent="0.3">
      <c r="A48" s="23" t="str">
        <f>IF(Global_Rates!A48="","",Global_Rates!A48)</f>
        <v>U.S. Corporate Bond Yield</v>
      </c>
      <c r="B48" s="23" t="str">
        <f>IF(Global_Rates!B48="","",Global_Rates!B48)</f>
        <v>Entity 7</v>
      </c>
      <c r="C48" s="23" t="str">
        <f>IF(Global_Rates!C48="","",Global_Rates!C48)</f>
        <v>United States</v>
      </c>
      <c r="D48" s="23" t="str">
        <f>IF(Global_Rates!D48="","",Global_Rates!D48)</f>
        <v>USD</v>
      </c>
      <c r="E48" s="32">
        <f ca="1">IF(Global_Rates!E48="","",Global_Rates!E48)</f>
        <v>46142</v>
      </c>
      <c r="F48" s="23" t="str">
        <f>IF(Global_Rates!F48="","",Global_Rates!F48)</f>
        <v/>
      </c>
      <c r="G48" s="23" t="str">
        <f>IF(Global_Rates!G48="","",Global_Rates!G48)</f>
        <v/>
      </c>
      <c r="H48" s="23" t="str">
        <f>IF(Global_Rates!H48="","",Global_Rates!H48)</f>
        <v/>
      </c>
      <c r="I48" s="23" t="str">
        <f>IF(Global_Rates!I48="","",Global_Rates!I48)</f>
        <v/>
      </c>
      <c r="J48" s="29"/>
      <c r="K48" s="33"/>
      <c r="L48" s="29"/>
      <c r="M48" s="23" t="str">
        <f>IF(Global_Rates!J48="","",Global_Rates!J48)</f>
        <v>WACC / Loan Readiness</v>
      </c>
    </row>
    <row r="49" spans="1:13" x14ac:dyDescent="0.3">
      <c r="A49" s="23" t="str">
        <f>IF(Global_Rates!A49="","",Global_Rates!A49)</f>
        <v>Beta</v>
      </c>
      <c r="B49" s="23" t="str">
        <f>IF(Global_Rates!B49="","",Global_Rates!B49)</f>
        <v>Entity 7</v>
      </c>
      <c r="C49" s="23" t="str">
        <f>IF(Global_Rates!C49="","",Global_Rates!C49)</f>
        <v>United States</v>
      </c>
      <c r="D49" s="23" t="str">
        <f>IF(Global_Rates!D49="","",Global_Rates!D49)</f>
        <v>USD</v>
      </c>
      <c r="E49" s="32">
        <f ca="1">IF(Global_Rates!E49="","",Global_Rates!E49)</f>
        <v>46142</v>
      </c>
      <c r="F49" s="23" t="str">
        <f>IF(Global_Rates!F49="","",Global_Rates!F49)</f>
        <v/>
      </c>
      <c r="G49" s="23" t="str">
        <f>IF(Global_Rates!G49="","",Global_Rates!G49)</f>
        <v/>
      </c>
      <c r="H49" s="23" t="str">
        <f>IF(Global_Rates!H49="","",Global_Rates!H49)</f>
        <v/>
      </c>
      <c r="I49" s="23" t="str">
        <f>IF(Global_Rates!I49="","",Global_Rates!I49)</f>
        <v/>
      </c>
      <c r="J49" s="29"/>
      <c r="K49" s="33"/>
      <c r="L49" s="29"/>
      <c r="M49" s="23" t="str">
        <f>IF(Global_Rates!J49="","",Global_Rates!J49)</f>
        <v>CAPM</v>
      </c>
    </row>
    <row r="50" spans="1:13" x14ac:dyDescent="0.3">
      <c r="A50" s="23" t="str">
        <f>IF(Global_Rates!A50="","",Global_Rates!A50)</f>
        <v>Local 10-Year Government Bond Yield</v>
      </c>
      <c r="B50" s="23" t="str">
        <f>IF(Global_Rates!B50="","",Global_Rates!B50)</f>
        <v>Entity 7</v>
      </c>
      <c r="C50" s="23" t="str">
        <f>IF(Global_Rates!C50="","",Global_Rates!C50)</f>
        <v/>
      </c>
      <c r="D50" s="23" t="str">
        <f>IF(Global_Rates!D50="","",Global_Rates!D50)</f>
        <v/>
      </c>
      <c r="E50" s="32">
        <f ca="1">IF(Global_Rates!E50="","",Global_Rates!E50)</f>
        <v>46142</v>
      </c>
      <c r="F50" s="23" t="str">
        <f>IF(Global_Rates!F50="","",Global_Rates!F50)</f>
        <v/>
      </c>
      <c r="G50" s="23" t="str">
        <f>IF(Global_Rates!G50="","",Global_Rates!G50)</f>
        <v/>
      </c>
      <c r="H50" s="23" t="str">
        <f>IF(Global_Rates!H50="","",Global_Rates!H50)</f>
        <v/>
      </c>
      <c r="I50" s="23" t="str">
        <f>IF(Global_Rates!I50="","",Global_Rates!I50)</f>
        <v/>
      </c>
      <c r="J50" s="29"/>
      <c r="K50" s="33"/>
      <c r="L50" s="29"/>
      <c r="M50" s="23" t="str">
        <f>IF(Global_Rates!J50="","",Global_Rates!J50)</f>
        <v>WACC / CAPM</v>
      </c>
    </row>
    <row r="51" spans="1:13" x14ac:dyDescent="0.3">
      <c r="A51" s="23" t="str">
        <f>IF(Global_Rates!A51="","",Global_Rates!A51)</f>
        <v>Local Market Risk Premium</v>
      </c>
      <c r="B51" s="23" t="str">
        <f>IF(Global_Rates!B51="","",Global_Rates!B51)</f>
        <v>Entity 7</v>
      </c>
      <c r="C51" s="23" t="str">
        <f>IF(Global_Rates!C51="","",Global_Rates!C51)</f>
        <v/>
      </c>
      <c r="D51" s="23" t="str">
        <f>IF(Global_Rates!D51="","",Global_Rates!D51)</f>
        <v/>
      </c>
      <c r="E51" s="32">
        <f ca="1">IF(Global_Rates!E51="","",Global_Rates!E51)</f>
        <v>46142</v>
      </c>
      <c r="F51" s="23" t="str">
        <f>IF(Global_Rates!F51="","",Global_Rates!F51)</f>
        <v/>
      </c>
      <c r="G51" s="23" t="str">
        <f>IF(Global_Rates!G51="","",Global_Rates!G51)</f>
        <v/>
      </c>
      <c r="H51" s="23" t="str">
        <f>IF(Global_Rates!H51="","",Global_Rates!H51)</f>
        <v/>
      </c>
      <c r="I51" s="23" t="str">
        <f>IF(Global_Rates!I51="","",Global_Rates!I51)</f>
        <v/>
      </c>
      <c r="J51" s="29"/>
      <c r="K51" s="33"/>
      <c r="L51" s="29"/>
      <c r="M51" s="23" t="str">
        <f>IF(Global_Rates!J51="","",Global_Rates!J51)</f>
        <v>CAPM</v>
      </c>
    </row>
    <row r="52" spans="1:13" x14ac:dyDescent="0.3">
      <c r="A52" s="23" t="str">
        <f>IF(Global_Rates!A52="","",Global_Rates!A52)</f>
        <v>Local Corporate Bond Yield</v>
      </c>
      <c r="B52" s="23" t="str">
        <f>IF(Global_Rates!B52="","",Global_Rates!B52)</f>
        <v>Entity 7</v>
      </c>
      <c r="C52" s="23" t="str">
        <f>IF(Global_Rates!C52="","",Global_Rates!C52)</f>
        <v/>
      </c>
      <c r="D52" s="23" t="str">
        <f>IF(Global_Rates!D52="","",Global_Rates!D52)</f>
        <v/>
      </c>
      <c r="E52" s="32">
        <f ca="1">IF(Global_Rates!E52="","",Global_Rates!E52)</f>
        <v>46142</v>
      </c>
      <c r="F52" s="23" t="str">
        <f>IF(Global_Rates!F52="","",Global_Rates!F52)</f>
        <v/>
      </c>
      <c r="G52" s="23" t="str">
        <f>IF(Global_Rates!G52="","",Global_Rates!G52)</f>
        <v/>
      </c>
      <c r="H52" s="23" t="str">
        <f>IF(Global_Rates!H52="","",Global_Rates!H52)</f>
        <v/>
      </c>
      <c r="I52" s="23" t="str">
        <f>IF(Global_Rates!I52="","",Global_Rates!I52)</f>
        <v/>
      </c>
      <c r="J52" s="29"/>
      <c r="K52" s="33"/>
      <c r="L52" s="29"/>
      <c r="M52" s="23" t="str">
        <f>IF(Global_Rates!J52="","",Global_Rates!J52)</f>
        <v>WACC / Loan Readiness</v>
      </c>
    </row>
    <row r="53" spans="1:13" x14ac:dyDescent="0.3">
      <c r="A53" s="23" t="str">
        <f>IF(Global_Rates!A53="","",Global_Rates!A53)</f>
        <v>U.S. 10-Year Treasury</v>
      </c>
      <c r="B53" s="23" t="str">
        <f>IF(Global_Rates!B53="","",Global_Rates!B53)</f>
        <v>Entity 8</v>
      </c>
      <c r="C53" s="23" t="str">
        <f>IF(Global_Rates!C53="","",Global_Rates!C53)</f>
        <v>United States</v>
      </c>
      <c r="D53" s="23" t="str">
        <f>IF(Global_Rates!D53="","",Global_Rates!D53)</f>
        <v>USD</v>
      </c>
      <c r="E53" s="32">
        <f ca="1">IF(Global_Rates!E53="","",Global_Rates!E53)</f>
        <v>46142</v>
      </c>
      <c r="F53" s="23" t="str">
        <f>IF(Global_Rates!F53="","",Global_Rates!F53)</f>
        <v/>
      </c>
      <c r="G53" s="23" t="str">
        <f>IF(Global_Rates!G53="","",Global_Rates!G53)</f>
        <v/>
      </c>
      <c r="H53" s="23" t="str">
        <f>IF(Global_Rates!H53="","",Global_Rates!H53)</f>
        <v/>
      </c>
      <c r="I53" s="23" t="str">
        <f>IF(Global_Rates!I53="","",Global_Rates!I53)</f>
        <v/>
      </c>
      <c r="J53" s="29"/>
      <c r="K53" s="33"/>
      <c r="L53" s="29"/>
      <c r="M53" s="23" t="str">
        <f>IF(Global_Rates!J53="","",Global_Rates!J53)</f>
        <v>WACC / CAPM</v>
      </c>
    </row>
    <row r="54" spans="1:13" x14ac:dyDescent="0.3">
      <c r="A54" s="23" t="str">
        <f>IF(Global_Rates!A54="","",Global_Rates!A54)</f>
        <v>U.S. Market Risk Premium</v>
      </c>
      <c r="B54" s="23" t="str">
        <f>IF(Global_Rates!B54="","",Global_Rates!B54)</f>
        <v>Entity 8</v>
      </c>
      <c r="C54" s="23" t="str">
        <f>IF(Global_Rates!C54="","",Global_Rates!C54)</f>
        <v>United States</v>
      </c>
      <c r="D54" s="23" t="str">
        <f>IF(Global_Rates!D54="","",Global_Rates!D54)</f>
        <v>USD</v>
      </c>
      <c r="E54" s="32">
        <f ca="1">IF(Global_Rates!E54="","",Global_Rates!E54)</f>
        <v>46142</v>
      </c>
      <c r="F54" s="23" t="str">
        <f>IF(Global_Rates!F54="","",Global_Rates!F54)</f>
        <v/>
      </c>
      <c r="G54" s="23" t="str">
        <f>IF(Global_Rates!G54="","",Global_Rates!G54)</f>
        <v/>
      </c>
      <c r="H54" s="23" t="str">
        <f>IF(Global_Rates!H54="","",Global_Rates!H54)</f>
        <v/>
      </c>
      <c r="I54" s="23" t="str">
        <f>IF(Global_Rates!I54="","",Global_Rates!I54)</f>
        <v/>
      </c>
      <c r="J54" s="29"/>
      <c r="K54" s="33"/>
      <c r="L54" s="29"/>
      <c r="M54" s="23" t="str">
        <f>IF(Global_Rates!J54="","",Global_Rates!J54)</f>
        <v>CAPM</v>
      </c>
    </row>
    <row r="55" spans="1:13" x14ac:dyDescent="0.3">
      <c r="A55" s="23" t="str">
        <f>IF(Global_Rates!A55="","",Global_Rates!A55)</f>
        <v>U.S. Corporate Bond Yield</v>
      </c>
      <c r="B55" s="23" t="str">
        <f>IF(Global_Rates!B55="","",Global_Rates!B55)</f>
        <v>Entity 8</v>
      </c>
      <c r="C55" s="23" t="str">
        <f>IF(Global_Rates!C55="","",Global_Rates!C55)</f>
        <v>United States</v>
      </c>
      <c r="D55" s="23" t="str">
        <f>IF(Global_Rates!D55="","",Global_Rates!D55)</f>
        <v>USD</v>
      </c>
      <c r="E55" s="32">
        <f ca="1">IF(Global_Rates!E55="","",Global_Rates!E55)</f>
        <v>46142</v>
      </c>
      <c r="F55" s="23" t="str">
        <f>IF(Global_Rates!F55="","",Global_Rates!F55)</f>
        <v/>
      </c>
      <c r="G55" s="23" t="str">
        <f>IF(Global_Rates!G55="","",Global_Rates!G55)</f>
        <v/>
      </c>
      <c r="H55" s="23" t="str">
        <f>IF(Global_Rates!H55="","",Global_Rates!H55)</f>
        <v/>
      </c>
      <c r="I55" s="23" t="str">
        <f>IF(Global_Rates!I55="","",Global_Rates!I55)</f>
        <v/>
      </c>
      <c r="J55" s="29"/>
      <c r="K55" s="33"/>
      <c r="L55" s="29"/>
      <c r="M55" s="23" t="str">
        <f>IF(Global_Rates!J55="","",Global_Rates!J55)</f>
        <v>WACC / Loan Readiness</v>
      </c>
    </row>
    <row r="56" spans="1:13" x14ac:dyDescent="0.3">
      <c r="A56" s="23" t="str">
        <f>IF(Global_Rates!A56="","",Global_Rates!A56)</f>
        <v>Beta</v>
      </c>
      <c r="B56" s="23" t="str">
        <f>IF(Global_Rates!B56="","",Global_Rates!B56)</f>
        <v>Entity 8</v>
      </c>
      <c r="C56" s="23" t="str">
        <f>IF(Global_Rates!C56="","",Global_Rates!C56)</f>
        <v>United States</v>
      </c>
      <c r="D56" s="23" t="str">
        <f>IF(Global_Rates!D56="","",Global_Rates!D56)</f>
        <v>USD</v>
      </c>
      <c r="E56" s="32">
        <f ca="1">IF(Global_Rates!E56="","",Global_Rates!E56)</f>
        <v>46142</v>
      </c>
      <c r="F56" s="23" t="str">
        <f>IF(Global_Rates!F56="","",Global_Rates!F56)</f>
        <v/>
      </c>
      <c r="G56" s="23" t="str">
        <f>IF(Global_Rates!G56="","",Global_Rates!G56)</f>
        <v/>
      </c>
      <c r="H56" s="23" t="str">
        <f>IF(Global_Rates!H56="","",Global_Rates!H56)</f>
        <v/>
      </c>
      <c r="I56" s="23" t="str">
        <f>IF(Global_Rates!I56="","",Global_Rates!I56)</f>
        <v/>
      </c>
      <c r="J56" s="29"/>
      <c r="K56" s="33"/>
      <c r="L56" s="29"/>
      <c r="M56" s="23" t="str">
        <f>IF(Global_Rates!J56="","",Global_Rates!J56)</f>
        <v>CAPM</v>
      </c>
    </row>
    <row r="57" spans="1:13" x14ac:dyDescent="0.3">
      <c r="A57" s="23" t="str">
        <f>IF(Global_Rates!A57="","",Global_Rates!A57)</f>
        <v>Local 10-Year Government Bond Yield</v>
      </c>
      <c r="B57" s="23" t="str">
        <f>IF(Global_Rates!B57="","",Global_Rates!B57)</f>
        <v>Entity 8</v>
      </c>
      <c r="C57" s="23" t="str">
        <f>IF(Global_Rates!C57="","",Global_Rates!C57)</f>
        <v/>
      </c>
      <c r="D57" s="23" t="str">
        <f>IF(Global_Rates!D57="","",Global_Rates!D57)</f>
        <v/>
      </c>
      <c r="E57" s="32">
        <f ca="1">IF(Global_Rates!E57="","",Global_Rates!E57)</f>
        <v>46142</v>
      </c>
      <c r="F57" s="23" t="str">
        <f>IF(Global_Rates!F57="","",Global_Rates!F57)</f>
        <v/>
      </c>
      <c r="G57" s="23" t="str">
        <f>IF(Global_Rates!G57="","",Global_Rates!G57)</f>
        <v/>
      </c>
      <c r="H57" s="23" t="str">
        <f>IF(Global_Rates!H57="","",Global_Rates!H57)</f>
        <v/>
      </c>
      <c r="I57" s="23" t="str">
        <f>IF(Global_Rates!I57="","",Global_Rates!I57)</f>
        <v/>
      </c>
      <c r="J57" s="29"/>
      <c r="K57" s="33"/>
      <c r="L57" s="29"/>
      <c r="M57" s="23" t="str">
        <f>IF(Global_Rates!J57="","",Global_Rates!J57)</f>
        <v>WACC / CAPM</v>
      </c>
    </row>
    <row r="58" spans="1:13" x14ac:dyDescent="0.3">
      <c r="A58" s="23" t="str">
        <f>IF(Global_Rates!A58="","",Global_Rates!A58)</f>
        <v>Local Market Risk Premium</v>
      </c>
      <c r="B58" s="23" t="str">
        <f>IF(Global_Rates!B58="","",Global_Rates!B58)</f>
        <v>Entity 8</v>
      </c>
      <c r="C58" s="23" t="str">
        <f>IF(Global_Rates!C58="","",Global_Rates!C58)</f>
        <v/>
      </c>
      <c r="D58" s="23" t="str">
        <f>IF(Global_Rates!D58="","",Global_Rates!D58)</f>
        <v/>
      </c>
      <c r="E58" s="32">
        <f ca="1">IF(Global_Rates!E58="","",Global_Rates!E58)</f>
        <v>46142</v>
      </c>
      <c r="F58" s="23" t="str">
        <f>IF(Global_Rates!F58="","",Global_Rates!F58)</f>
        <v/>
      </c>
      <c r="G58" s="23" t="str">
        <f>IF(Global_Rates!G58="","",Global_Rates!G58)</f>
        <v/>
      </c>
      <c r="H58" s="23" t="str">
        <f>IF(Global_Rates!H58="","",Global_Rates!H58)</f>
        <v/>
      </c>
      <c r="I58" s="23" t="str">
        <f>IF(Global_Rates!I58="","",Global_Rates!I58)</f>
        <v/>
      </c>
      <c r="J58" s="29"/>
      <c r="K58" s="33"/>
      <c r="L58" s="29"/>
      <c r="M58" s="23" t="str">
        <f>IF(Global_Rates!J58="","",Global_Rates!J58)</f>
        <v>CAPM</v>
      </c>
    </row>
    <row r="59" spans="1:13" x14ac:dyDescent="0.3">
      <c r="A59" s="23" t="str">
        <f>IF(Global_Rates!A59="","",Global_Rates!A59)</f>
        <v>Local Corporate Bond Yield</v>
      </c>
      <c r="B59" s="23" t="str">
        <f>IF(Global_Rates!B59="","",Global_Rates!B59)</f>
        <v>Entity 8</v>
      </c>
      <c r="C59" s="23" t="str">
        <f>IF(Global_Rates!C59="","",Global_Rates!C59)</f>
        <v/>
      </c>
      <c r="D59" s="23" t="str">
        <f>IF(Global_Rates!D59="","",Global_Rates!D59)</f>
        <v/>
      </c>
      <c r="E59" s="32">
        <f ca="1">IF(Global_Rates!E59="","",Global_Rates!E59)</f>
        <v>46142</v>
      </c>
      <c r="F59" s="23" t="str">
        <f>IF(Global_Rates!F59="","",Global_Rates!F59)</f>
        <v/>
      </c>
      <c r="G59" s="23" t="str">
        <f>IF(Global_Rates!G59="","",Global_Rates!G59)</f>
        <v/>
      </c>
      <c r="H59" s="23" t="str">
        <f>IF(Global_Rates!H59="","",Global_Rates!H59)</f>
        <v/>
      </c>
      <c r="I59" s="23" t="str">
        <f>IF(Global_Rates!I59="","",Global_Rates!I59)</f>
        <v/>
      </c>
      <c r="J59" s="29"/>
      <c r="K59" s="33"/>
      <c r="L59" s="29"/>
      <c r="M59" s="23" t="str">
        <f>IF(Global_Rates!J59="","",Global_Rates!J59)</f>
        <v>WACC / Loan Readiness</v>
      </c>
    </row>
    <row r="60" spans="1:13" x14ac:dyDescent="0.3">
      <c r="A60" s="23" t="str">
        <f>IF(Global_Rates!A60="","",Global_Rates!A60)</f>
        <v>U.S. 10-Year Treasury</v>
      </c>
      <c r="B60" s="23" t="str">
        <f>IF(Global_Rates!B60="","",Global_Rates!B60)</f>
        <v>Entity 9</v>
      </c>
      <c r="C60" s="23" t="str">
        <f>IF(Global_Rates!C60="","",Global_Rates!C60)</f>
        <v>United States</v>
      </c>
      <c r="D60" s="23" t="str">
        <f>IF(Global_Rates!D60="","",Global_Rates!D60)</f>
        <v>USD</v>
      </c>
      <c r="E60" s="32">
        <f ca="1">IF(Global_Rates!E60="","",Global_Rates!E60)</f>
        <v>46142</v>
      </c>
      <c r="F60" s="23" t="str">
        <f>IF(Global_Rates!F60="","",Global_Rates!F60)</f>
        <v/>
      </c>
      <c r="G60" s="23" t="str">
        <f>IF(Global_Rates!G60="","",Global_Rates!G60)</f>
        <v/>
      </c>
      <c r="H60" s="23" t="str">
        <f>IF(Global_Rates!H60="","",Global_Rates!H60)</f>
        <v/>
      </c>
      <c r="I60" s="23" t="str">
        <f>IF(Global_Rates!I60="","",Global_Rates!I60)</f>
        <v/>
      </c>
      <c r="J60" s="29"/>
      <c r="K60" s="33"/>
      <c r="L60" s="29"/>
      <c r="M60" s="23" t="str">
        <f>IF(Global_Rates!J60="","",Global_Rates!J60)</f>
        <v>WACC / CAPM</v>
      </c>
    </row>
    <row r="61" spans="1:13" x14ac:dyDescent="0.3">
      <c r="A61" s="23" t="str">
        <f>IF(Global_Rates!A61="","",Global_Rates!A61)</f>
        <v>U.S. Market Risk Premium</v>
      </c>
      <c r="B61" s="23" t="str">
        <f>IF(Global_Rates!B61="","",Global_Rates!B61)</f>
        <v>Entity 9</v>
      </c>
      <c r="C61" s="23" t="str">
        <f>IF(Global_Rates!C61="","",Global_Rates!C61)</f>
        <v>United States</v>
      </c>
      <c r="D61" s="23" t="str">
        <f>IF(Global_Rates!D61="","",Global_Rates!D61)</f>
        <v>USD</v>
      </c>
      <c r="E61" s="32">
        <f ca="1">IF(Global_Rates!E61="","",Global_Rates!E61)</f>
        <v>46142</v>
      </c>
      <c r="F61" s="23" t="str">
        <f>IF(Global_Rates!F61="","",Global_Rates!F61)</f>
        <v/>
      </c>
      <c r="G61" s="23" t="str">
        <f>IF(Global_Rates!G61="","",Global_Rates!G61)</f>
        <v/>
      </c>
      <c r="H61" s="23" t="str">
        <f>IF(Global_Rates!H61="","",Global_Rates!H61)</f>
        <v/>
      </c>
      <c r="I61" s="23" t="str">
        <f>IF(Global_Rates!I61="","",Global_Rates!I61)</f>
        <v/>
      </c>
      <c r="J61" s="29"/>
      <c r="K61" s="33"/>
      <c r="L61" s="29"/>
      <c r="M61" s="23" t="str">
        <f>IF(Global_Rates!J61="","",Global_Rates!J61)</f>
        <v>CAPM</v>
      </c>
    </row>
    <row r="62" spans="1:13" x14ac:dyDescent="0.3">
      <c r="A62" s="23" t="str">
        <f>IF(Global_Rates!A62="","",Global_Rates!A62)</f>
        <v>U.S. Corporate Bond Yield</v>
      </c>
      <c r="B62" s="23" t="str">
        <f>IF(Global_Rates!B62="","",Global_Rates!B62)</f>
        <v>Entity 9</v>
      </c>
      <c r="C62" s="23" t="str">
        <f>IF(Global_Rates!C62="","",Global_Rates!C62)</f>
        <v>United States</v>
      </c>
      <c r="D62" s="23" t="str">
        <f>IF(Global_Rates!D62="","",Global_Rates!D62)</f>
        <v>USD</v>
      </c>
      <c r="E62" s="32">
        <f ca="1">IF(Global_Rates!E62="","",Global_Rates!E62)</f>
        <v>46142</v>
      </c>
      <c r="F62" s="23" t="str">
        <f>IF(Global_Rates!F62="","",Global_Rates!F62)</f>
        <v/>
      </c>
      <c r="G62" s="23" t="str">
        <f>IF(Global_Rates!G62="","",Global_Rates!G62)</f>
        <v/>
      </c>
      <c r="H62" s="23" t="str">
        <f>IF(Global_Rates!H62="","",Global_Rates!H62)</f>
        <v/>
      </c>
      <c r="I62" s="23" t="str">
        <f>IF(Global_Rates!I62="","",Global_Rates!I62)</f>
        <v/>
      </c>
      <c r="J62" s="29"/>
      <c r="K62" s="33"/>
      <c r="L62" s="29"/>
      <c r="M62" s="23" t="str">
        <f>IF(Global_Rates!J62="","",Global_Rates!J62)</f>
        <v>WACC / Loan Readiness</v>
      </c>
    </row>
    <row r="63" spans="1:13" x14ac:dyDescent="0.3">
      <c r="A63" s="23" t="str">
        <f>IF(Global_Rates!A63="","",Global_Rates!A63)</f>
        <v>Beta</v>
      </c>
      <c r="B63" s="23" t="str">
        <f>IF(Global_Rates!B63="","",Global_Rates!B63)</f>
        <v>Entity 9</v>
      </c>
      <c r="C63" s="23" t="str">
        <f>IF(Global_Rates!C63="","",Global_Rates!C63)</f>
        <v>United States</v>
      </c>
      <c r="D63" s="23" t="str">
        <f>IF(Global_Rates!D63="","",Global_Rates!D63)</f>
        <v>USD</v>
      </c>
      <c r="E63" s="32">
        <f ca="1">IF(Global_Rates!E63="","",Global_Rates!E63)</f>
        <v>46142</v>
      </c>
      <c r="F63" s="23" t="str">
        <f>IF(Global_Rates!F63="","",Global_Rates!F63)</f>
        <v/>
      </c>
      <c r="G63" s="23" t="str">
        <f>IF(Global_Rates!G63="","",Global_Rates!G63)</f>
        <v/>
      </c>
      <c r="H63" s="23" t="str">
        <f>IF(Global_Rates!H63="","",Global_Rates!H63)</f>
        <v/>
      </c>
      <c r="I63" s="23" t="str">
        <f>IF(Global_Rates!I63="","",Global_Rates!I63)</f>
        <v/>
      </c>
      <c r="J63" s="29"/>
      <c r="K63" s="33"/>
      <c r="L63" s="29"/>
      <c r="M63" s="23" t="str">
        <f>IF(Global_Rates!J63="","",Global_Rates!J63)</f>
        <v>CAPM</v>
      </c>
    </row>
    <row r="64" spans="1:13" x14ac:dyDescent="0.3">
      <c r="A64" s="23" t="str">
        <f>IF(Global_Rates!A64="","",Global_Rates!A64)</f>
        <v>Local 10-Year Government Bond Yield</v>
      </c>
      <c r="B64" s="23" t="str">
        <f>IF(Global_Rates!B64="","",Global_Rates!B64)</f>
        <v>Entity 9</v>
      </c>
      <c r="C64" s="23" t="str">
        <f>IF(Global_Rates!C64="","",Global_Rates!C64)</f>
        <v/>
      </c>
      <c r="D64" s="23" t="str">
        <f>IF(Global_Rates!D64="","",Global_Rates!D64)</f>
        <v/>
      </c>
      <c r="E64" s="32">
        <f ca="1">IF(Global_Rates!E64="","",Global_Rates!E64)</f>
        <v>46142</v>
      </c>
      <c r="F64" s="23" t="str">
        <f>IF(Global_Rates!F64="","",Global_Rates!F64)</f>
        <v/>
      </c>
      <c r="G64" s="23" t="str">
        <f>IF(Global_Rates!G64="","",Global_Rates!G64)</f>
        <v/>
      </c>
      <c r="H64" s="23" t="str">
        <f>IF(Global_Rates!H64="","",Global_Rates!H64)</f>
        <v/>
      </c>
      <c r="I64" s="23" t="str">
        <f>IF(Global_Rates!I64="","",Global_Rates!I64)</f>
        <v/>
      </c>
      <c r="J64" s="29"/>
      <c r="K64" s="33"/>
      <c r="L64" s="29"/>
      <c r="M64" s="23" t="str">
        <f>IF(Global_Rates!J64="","",Global_Rates!J64)</f>
        <v>WACC / CAPM</v>
      </c>
    </row>
    <row r="65" spans="1:13" x14ac:dyDescent="0.3">
      <c r="A65" s="23" t="str">
        <f>IF(Global_Rates!A65="","",Global_Rates!A65)</f>
        <v>Local Market Risk Premium</v>
      </c>
      <c r="B65" s="23" t="str">
        <f>IF(Global_Rates!B65="","",Global_Rates!B65)</f>
        <v>Entity 9</v>
      </c>
      <c r="C65" s="23" t="str">
        <f>IF(Global_Rates!C65="","",Global_Rates!C65)</f>
        <v/>
      </c>
      <c r="D65" s="23" t="str">
        <f>IF(Global_Rates!D65="","",Global_Rates!D65)</f>
        <v/>
      </c>
      <c r="E65" s="32">
        <f ca="1">IF(Global_Rates!E65="","",Global_Rates!E65)</f>
        <v>46142</v>
      </c>
      <c r="F65" s="23" t="str">
        <f>IF(Global_Rates!F65="","",Global_Rates!F65)</f>
        <v/>
      </c>
      <c r="G65" s="23" t="str">
        <f>IF(Global_Rates!G65="","",Global_Rates!G65)</f>
        <v/>
      </c>
      <c r="H65" s="23" t="str">
        <f>IF(Global_Rates!H65="","",Global_Rates!H65)</f>
        <v/>
      </c>
      <c r="I65" s="23" t="str">
        <f>IF(Global_Rates!I65="","",Global_Rates!I65)</f>
        <v/>
      </c>
      <c r="J65" s="29"/>
      <c r="K65" s="33"/>
      <c r="L65" s="29"/>
      <c r="M65" s="23" t="str">
        <f>IF(Global_Rates!J65="","",Global_Rates!J65)</f>
        <v>CAPM</v>
      </c>
    </row>
    <row r="66" spans="1:13" x14ac:dyDescent="0.3">
      <c r="A66" s="23" t="str">
        <f>IF(Global_Rates!A66="","",Global_Rates!A66)</f>
        <v>Local Corporate Bond Yield</v>
      </c>
      <c r="B66" s="23" t="str">
        <f>IF(Global_Rates!B66="","",Global_Rates!B66)</f>
        <v>Entity 9</v>
      </c>
      <c r="C66" s="23" t="str">
        <f>IF(Global_Rates!C66="","",Global_Rates!C66)</f>
        <v/>
      </c>
      <c r="D66" s="23" t="str">
        <f>IF(Global_Rates!D66="","",Global_Rates!D66)</f>
        <v/>
      </c>
      <c r="E66" s="32">
        <f ca="1">IF(Global_Rates!E66="","",Global_Rates!E66)</f>
        <v>46142</v>
      </c>
      <c r="F66" s="23" t="str">
        <f>IF(Global_Rates!F66="","",Global_Rates!F66)</f>
        <v/>
      </c>
      <c r="G66" s="23" t="str">
        <f>IF(Global_Rates!G66="","",Global_Rates!G66)</f>
        <v/>
      </c>
      <c r="H66" s="23" t="str">
        <f>IF(Global_Rates!H66="","",Global_Rates!H66)</f>
        <v/>
      </c>
      <c r="I66" s="23" t="str">
        <f>IF(Global_Rates!I66="","",Global_Rates!I66)</f>
        <v/>
      </c>
      <c r="J66" s="29"/>
      <c r="K66" s="33"/>
      <c r="L66" s="29"/>
      <c r="M66" s="23" t="str">
        <f>IF(Global_Rates!J66="","",Global_Rates!J66)</f>
        <v>WACC / Loan Readiness</v>
      </c>
    </row>
    <row r="67" spans="1:13" x14ac:dyDescent="0.3">
      <c r="A67" s="23" t="str">
        <f>IF(Global_Rates!A67="","",Global_Rates!A67)</f>
        <v>U.S. 10-Year Treasury</v>
      </c>
      <c r="B67" s="23" t="str">
        <f>IF(Global_Rates!B67="","",Global_Rates!B67)</f>
        <v>Entity 10</v>
      </c>
      <c r="C67" s="23" t="str">
        <f>IF(Global_Rates!C67="","",Global_Rates!C67)</f>
        <v>United States</v>
      </c>
      <c r="D67" s="23" t="str">
        <f>IF(Global_Rates!D67="","",Global_Rates!D67)</f>
        <v>USD</v>
      </c>
      <c r="E67" s="32">
        <f ca="1">IF(Global_Rates!E67="","",Global_Rates!E67)</f>
        <v>46142</v>
      </c>
      <c r="F67" s="23" t="str">
        <f>IF(Global_Rates!F67="","",Global_Rates!F67)</f>
        <v/>
      </c>
      <c r="G67" s="23" t="str">
        <f>IF(Global_Rates!G67="","",Global_Rates!G67)</f>
        <v/>
      </c>
      <c r="H67" s="23" t="str">
        <f>IF(Global_Rates!H67="","",Global_Rates!H67)</f>
        <v/>
      </c>
      <c r="I67" s="23" t="str">
        <f>IF(Global_Rates!I67="","",Global_Rates!I67)</f>
        <v/>
      </c>
      <c r="J67" s="29"/>
      <c r="K67" s="33"/>
      <c r="L67" s="29"/>
      <c r="M67" s="23" t="str">
        <f>IF(Global_Rates!J67="","",Global_Rates!J67)</f>
        <v>WACC / CAPM</v>
      </c>
    </row>
    <row r="68" spans="1:13" x14ac:dyDescent="0.3">
      <c r="A68" s="23" t="str">
        <f>IF(Global_Rates!A68="","",Global_Rates!A68)</f>
        <v>U.S. Market Risk Premium</v>
      </c>
      <c r="B68" s="23" t="str">
        <f>IF(Global_Rates!B68="","",Global_Rates!B68)</f>
        <v>Entity 10</v>
      </c>
      <c r="C68" s="23" t="str">
        <f>IF(Global_Rates!C68="","",Global_Rates!C68)</f>
        <v>United States</v>
      </c>
      <c r="D68" s="23" t="str">
        <f>IF(Global_Rates!D68="","",Global_Rates!D68)</f>
        <v>USD</v>
      </c>
      <c r="E68" s="32">
        <f ca="1">IF(Global_Rates!E68="","",Global_Rates!E68)</f>
        <v>46142</v>
      </c>
      <c r="F68" s="23" t="str">
        <f>IF(Global_Rates!F68="","",Global_Rates!F68)</f>
        <v/>
      </c>
      <c r="G68" s="23" t="str">
        <f>IF(Global_Rates!G68="","",Global_Rates!G68)</f>
        <v/>
      </c>
      <c r="H68" s="23" t="str">
        <f>IF(Global_Rates!H68="","",Global_Rates!H68)</f>
        <v/>
      </c>
      <c r="I68" s="23" t="str">
        <f>IF(Global_Rates!I68="","",Global_Rates!I68)</f>
        <v/>
      </c>
      <c r="J68" s="29"/>
      <c r="K68" s="33"/>
      <c r="L68" s="29"/>
      <c r="M68" s="23" t="str">
        <f>IF(Global_Rates!J68="","",Global_Rates!J68)</f>
        <v>CAPM</v>
      </c>
    </row>
    <row r="69" spans="1:13" x14ac:dyDescent="0.3">
      <c r="A69" s="23" t="str">
        <f>IF(Global_Rates!A69="","",Global_Rates!A69)</f>
        <v>U.S. Corporate Bond Yield</v>
      </c>
      <c r="B69" s="23" t="str">
        <f>IF(Global_Rates!B69="","",Global_Rates!B69)</f>
        <v>Entity 10</v>
      </c>
      <c r="C69" s="23" t="str">
        <f>IF(Global_Rates!C69="","",Global_Rates!C69)</f>
        <v>United States</v>
      </c>
      <c r="D69" s="23" t="str">
        <f>IF(Global_Rates!D69="","",Global_Rates!D69)</f>
        <v>USD</v>
      </c>
      <c r="E69" s="32">
        <f ca="1">IF(Global_Rates!E69="","",Global_Rates!E69)</f>
        <v>46142</v>
      </c>
      <c r="F69" s="23" t="str">
        <f>IF(Global_Rates!F69="","",Global_Rates!F69)</f>
        <v/>
      </c>
      <c r="G69" s="23" t="str">
        <f>IF(Global_Rates!G69="","",Global_Rates!G69)</f>
        <v/>
      </c>
      <c r="H69" s="23" t="str">
        <f>IF(Global_Rates!H69="","",Global_Rates!H69)</f>
        <v/>
      </c>
      <c r="I69" s="23" t="str">
        <f>IF(Global_Rates!I69="","",Global_Rates!I69)</f>
        <v/>
      </c>
      <c r="J69" s="29"/>
      <c r="K69" s="33"/>
      <c r="L69" s="29"/>
      <c r="M69" s="23" t="str">
        <f>IF(Global_Rates!J69="","",Global_Rates!J69)</f>
        <v>WACC / Loan Readiness</v>
      </c>
    </row>
    <row r="70" spans="1:13" x14ac:dyDescent="0.3">
      <c r="A70" s="23" t="str">
        <f>IF(Global_Rates!A70="","",Global_Rates!A70)</f>
        <v>Beta</v>
      </c>
      <c r="B70" s="23" t="str">
        <f>IF(Global_Rates!B70="","",Global_Rates!B70)</f>
        <v>Entity 10</v>
      </c>
      <c r="C70" s="23" t="str">
        <f>IF(Global_Rates!C70="","",Global_Rates!C70)</f>
        <v>United States</v>
      </c>
      <c r="D70" s="23" t="str">
        <f>IF(Global_Rates!D70="","",Global_Rates!D70)</f>
        <v>USD</v>
      </c>
      <c r="E70" s="32">
        <f ca="1">IF(Global_Rates!E70="","",Global_Rates!E70)</f>
        <v>46142</v>
      </c>
      <c r="F70" s="23" t="str">
        <f>IF(Global_Rates!F70="","",Global_Rates!F70)</f>
        <v/>
      </c>
      <c r="G70" s="23" t="str">
        <f>IF(Global_Rates!G70="","",Global_Rates!G70)</f>
        <v/>
      </c>
      <c r="H70" s="23" t="str">
        <f>IF(Global_Rates!H70="","",Global_Rates!H70)</f>
        <v/>
      </c>
      <c r="I70" s="23" t="str">
        <f>IF(Global_Rates!I70="","",Global_Rates!I70)</f>
        <v/>
      </c>
      <c r="J70" s="29"/>
      <c r="K70" s="33"/>
      <c r="L70" s="29"/>
      <c r="M70" s="23" t="str">
        <f>IF(Global_Rates!J70="","",Global_Rates!J70)</f>
        <v>CAPM</v>
      </c>
    </row>
    <row r="71" spans="1:13" x14ac:dyDescent="0.3">
      <c r="A71" s="23" t="str">
        <f>IF(Global_Rates!A71="","",Global_Rates!A71)</f>
        <v>Local 10-Year Government Bond Yield</v>
      </c>
      <c r="B71" s="23" t="str">
        <f>IF(Global_Rates!B71="","",Global_Rates!B71)</f>
        <v>Entity 10</v>
      </c>
      <c r="C71" s="23" t="str">
        <f>IF(Global_Rates!C71="","",Global_Rates!C71)</f>
        <v/>
      </c>
      <c r="D71" s="23" t="str">
        <f>IF(Global_Rates!D71="","",Global_Rates!D71)</f>
        <v/>
      </c>
      <c r="E71" s="32">
        <f ca="1">IF(Global_Rates!E71="","",Global_Rates!E71)</f>
        <v>46142</v>
      </c>
      <c r="F71" s="23" t="str">
        <f>IF(Global_Rates!F71="","",Global_Rates!F71)</f>
        <v/>
      </c>
      <c r="G71" s="23" t="str">
        <f>IF(Global_Rates!G71="","",Global_Rates!G71)</f>
        <v/>
      </c>
      <c r="H71" s="23" t="str">
        <f>IF(Global_Rates!H71="","",Global_Rates!H71)</f>
        <v/>
      </c>
      <c r="I71" s="23" t="str">
        <f>IF(Global_Rates!I71="","",Global_Rates!I71)</f>
        <v/>
      </c>
      <c r="J71" s="29"/>
      <c r="K71" s="33"/>
      <c r="L71" s="29"/>
      <c r="M71" s="23" t="str">
        <f>IF(Global_Rates!J71="","",Global_Rates!J71)</f>
        <v>WACC / CAPM</v>
      </c>
    </row>
    <row r="72" spans="1:13" x14ac:dyDescent="0.3">
      <c r="A72" s="23" t="str">
        <f>IF(Global_Rates!A72="","",Global_Rates!A72)</f>
        <v>Local Market Risk Premium</v>
      </c>
      <c r="B72" s="23" t="str">
        <f>IF(Global_Rates!B72="","",Global_Rates!B72)</f>
        <v>Entity 10</v>
      </c>
      <c r="C72" s="23" t="str">
        <f>IF(Global_Rates!C72="","",Global_Rates!C72)</f>
        <v/>
      </c>
      <c r="D72" s="23" t="str">
        <f>IF(Global_Rates!D72="","",Global_Rates!D72)</f>
        <v/>
      </c>
      <c r="E72" s="32">
        <f ca="1">IF(Global_Rates!E72="","",Global_Rates!E72)</f>
        <v>46142</v>
      </c>
      <c r="F72" s="23" t="str">
        <f>IF(Global_Rates!F72="","",Global_Rates!F72)</f>
        <v/>
      </c>
      <c r="G72" s="23" t="str">
        <f>IF(Global_Rates!G72="","",Global_Rates!G72)</f>
        <v/>
      </c>
      <c r="H72" s="23" t="str">
        <f>IF(Global_Rates!H72="","",Global_Rates!H72)</f>
        <v/>
      </c>
      <c r="I72" s="23" t="str">
        <f>IF(Global_Rates!I72="","",Global_Rates!I72)</f>
        <v/>
      </c>
      <c r="J72" s="29"/>
      <c r="K72" s="33"/>
      <c r="L72" s="29"/>
      <c r="M72" s="23" t="str">
        <f>IF(Global_Rates!J72="","",Global_Rates!J72)</f>
        <v>CAPM</v>
      </c>
    </row>
    <row r="73" spans="1:13" x14ac:dyDescent="0.3">
      <c r="A73" s="23" t="str">
        <f>IF(Global_Rates!A73="","",Global_Rates!A73)</f>
        <v>Local Corporate Bond Yield</v>
      </c>
      <c r="B73" s="23" t="str">
        <f>IF(Global_Rates!B73="","",Global_Rates!B73)</f>
        <v>Entity 10</v>
      </c>
      <c r="C73" s="23" t="str">
        <f>IF(Global_Rates!C73="","",Global_Rates!C73)</f>
        <v/>
      </c>
      <c r="D73" s="23" t="str">
        <f>IF(Global_Rates!D73="","",Global_Rates!D73)</f>
        <v/>
      </c>
      <c r="E73" s="32">
        <f ca="1">IF(Global_Rates!E73="","",Global_Rates!E73)</f>
        <v>46142</v>
      </c>
      <c r="F73" s="23" t="str">
        <f>IF(Global_Rates!F73="","",Global_Rates!F73)</f>
        <v/>
      </c>
      <c r="G73" s="23" t="str">
        <f>IF(Global_Rates!G73="","",Global_Rates!G73)</f>
        <v/>
      </c>
      <c r="H73" s="23" t="str">
        <f>IF(Global_Rates!H73="","",Global_Rates!H73)</f>
        <v/>
      </c>
      <c r="I73" s="23" t="str">
        <f>IF(Global_Rates!I73="","",Global_Rates!I73)</f>
        <v/>
      </c>
      <c r="J73" s="29"/>
      <c r="K73" s="33"/>
      <c r="L73" s="29"/>
      <c r="M73" s="23" t="str">
        <f>IF(Global_Rates!J73="","",Global_Rates!J73)</f>
        <v>WACC / Loan Readiness</v>
      </c>
    </row>
    <row r="74" spans="1:13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spans="1:13" x14ac:dyDescent="0.3">
      <c r="A75" s="23" t="s">
        <v>463</v>
      </c>
      <c r="B75" s="23" t="s">
        <v>84</v>
      </c>
      <c r="C75" s="23" t="s">
        <v>85</v>
      </c>
      <c r="D75" s="23" t="s">
        <v>464</v>
      </c>
      <c r="E75" s="23" t="s">
        <v>87</v>
      </c>
      <c r="F75" s="23" t="s">
        <v>465</v>
      </c>
      <c r="G75" s="23"/>
      <c r="H75" s="23"/>
      <c r="I75" s="23"/>
      <c r="J75" s="23"/>
      <c r="K75" s="23"/>
      <c r="L75" s="23"/>
      <c r="M75" s="23"/>
    </row>
    <row r="76" spans="1:13" x14ac:dyDescent="0.3">
      <c r="A76" s="28" t="str">
        <f t="shared" ref="A76:A85" si="0">"FX Conversion"</f>
        <v>FX Conversion</v>
      </c>
      <c r="B76" s="28" t="str">
        <f>"Entity 1"</f>
        <v>Entity 1</v>
      </c>
      <c r="C76" s="28" t="str">
        <f>IF(FX_Conversion!B4="","",FX_Conversion!B4)</f>
        <v/>
      </c>
      <c r="D76" s="28" t="str">
        <f>IF(FX_Conversion!C4="","",FX_Conversion!C4)</f>
        <v/>
      </c>
      <c r="E76" s="28" t="str">
        <f>IF(FX_Conversion!D4="","",FX_Conversion!D4)</f>
        <v/>
      </c>
      <c r="F76" s="28" t="str">
        <f>IF(FX_Conversion!E4="","",FX_Conversion!E4)</f>
        <v/>
      </c>
      <c r="G76" s="28"/>
      <c r="H76" s="28"/>
      <c r="I76" s="28"/>
      <c r="J76" s="28"/>
      <c r="K76" s="28"/>
      <c r="L76" s="28"/>
      <c r="M76" s="28"/>
    </row>
    <row r="77" spans="1:13" x14ac:dyDescent="0.3">
      <c r="A77" s="23" t="str">
        <f t="shared" si="0"/>
        <v>FX Conversion</v>
      </c>
      <c r="B77" s="23" t="str">
        <f>"Entity 2"</f>
        <v>Entity 2</v>
      </c>
      <c r="C77" s="23" t="str">
        <f>IF(FX_Conversion!B5="","",FX_Conversion!B5)</f>
        <v/>
      </c>
      <c r="D77" s="23" t="str">
        <f>IF(FX_Conversion!C5="","",FX_Conversion!C5)</f>
        <v/>
      </c>
      <c r="E77" s="23" t="str">
        <f>IF(FX_Conversion!D5="","",FX_Conversion!D5)</f>
        <v/>
      </c>
      <c r="F77" s="23" t="str">
        <f>IF(FX_Conversion!E5="","",FX_Conversion!E5)</f>
        <v/>
      </c>
      <c r="G77" s="23"/>
      <c r="H77" s="23"/>
      <c r="I77" s="23"/>
      <c r="J77" s="23"/>
      <c r="K77" s="23"/>
      <c r="L77" s="23"/>
      <c r="M77" s="23"/>
    </row>
    <row r="78" spans="1:13" x14ac:dyDescent="0.3">
      <c r="A78" s="23" t="str">
        <f t="shared" si="0"/>
        <v>FX Conversion</v>
      </c>
      <c r="B78" s="23" t="str">
        <f>"Entity 3"</f>
        <v>Entity 3</v>
      </c>
      <c r="C78" s="23" t="str">
        <f>IF(FX_Conversion!B6="","",FX_Conversion!B6)</f>
        <v/>
      </c>
      <c r="D78" s="23" t="str">
        <f>IF(FX_Conversion!C6="","",FX_Conversion!C6)</f>
        <v/>
      </c>
      <c r="E78" s="23" t="str">
        <f>IF(FX_Conversion!D6="","",FX_Conversion!D6)</f>
        <v/>
      </c>
      <c r="F78" s="23" t="str">
        <f>IF(FX_Conversion!E6="","",FX_Conversion!E6)</f>
        <v/>
      </c>
      <c r="G78" s="23"/>
      <c r="H78" s="23"/>
      <c r="I78" s="23"/>
      <c r="J78" s="23"/>
      <c r="K78" s="23"/>
      <c r="L78" s="23"/>
      <c r="M78" s="23"/>
    </row>
    <row r="79" spans="1:13" x14ac:dyDescent="0.3">
      <c r="A79" s="23" t="str">
        <f t="shared" si="0"/>
        <v>FX Conversion</v>
      </c>
      <c r="B79" s="23" t="str">
        <f>"Entity 4"</f>
        <v>Entity 4</v>
      </c>
      <c r="C79" s="23" t="str">
        <f>IF(FX_Conversion!B7="","",FX_Conversion!B7)</f>
        <v/>
      </c>
      <c r="D79" s="23" t="str">
        <f>IF(FX_Conversion!C7="","",FX_Conversion!C7)</f>
        <v/>
      </c>
      <c r="E79" s="23" t="str">
        <f>IF(FX_Conversion!D7="","",FX_Conversion!D7)</f>
        <v/>
      </c>
      <c r="F79" s="23" t="str">
        <f>IF(FX_Conversion!E7="","",FX_Conversion!E7)</f>
        <v/>
      </c>
      <c r="G79" s="23"/>
      <c r="H79" s="23"/>
      <c r="I79" s="23"/>
      <c r="J79" s="23"/>
      <c r="K79" s="23"/>
      <c r="L79" s="23"/>
      <c r="M79" s="23"/>
    </row>
    <row r="80" spans="1:13" x14ac:dyDescent="0.3">
      <c r="A80" s="23" t="str">
        <f t="shared" si="0"/>
        <v>FX Conversion</v>
      </c>
      <c r="B80" s="23" t="str">
        <f>"Entity 5"</f>
        <v>Entity 5</v>
      </c>
      <c r="C80" s="23" t="str">
        <f>IF(FX_Conversion!B8="","",FX_Conversion!B8)</f>
        <v/>
      </c>
      <c r="D80" s="23" t="str">
        <f>IF(FX_Conversion!C8="","",FX_Conversion!C8)</f>
        <v/>
      </c>
      <c r="E80" s="23" t="str">
        <f>IF(FX_Conversion!D8="","",FX_Conversion!D8)</f>
        <v/>
      </c>
      <c r="F80" s="23" t="str">
        <f>IF(FX_Conversion!E8="","",FX_Conversion!E8)</f>
        <v/>
      </c>
      <c r="G80" s="23"/>
      <c r="H80" s="23"/>
      <c r="I80" s="23"/>
      <c r="J80" s="23"/>
      <c r="K80" s="23"/>
      <c r="L80" s="23"/>
      <c r="M80" s="23"/>
    </row>
    <row r="81" spans="1:13" x14ac:dyDescent="0.3">
      <c r="A81" s="23" t="str">
        <f t="shared" si="0"/>
        <v>FX Conversion</v>
      </c>
      <c r="B81" s="23" t="str">
        <f>"Entity 6"</f>
        <v>Entity 6</v>
      </c>
      <c r="C81" s="23" t="str">
        <f>IF(FX_Conversion!B9="","",FX_Conversion!B9)</f>
        <v/>
      </c>
      <c r="D81" s="23" t="str">
        <f>IF(FX_Conversion!C9="","",FX_Conversion!C9)</f>
        <v/>
      </c>
      <c r="E81" s="23" t="str">
        <f>IF(FX_Conversion!D9="","",FX_Conversion!D9)</f>
        <v/>
      </c>
      <c r="F81" s="23" t="str">
        <f>IF(FX_Conversion!E9="","",FX_Conversion!E9)</f>
        <v/>
      </c>
      <c r="G81" s="23"/>
      <c r="H81" s="23"/>
      <c r="I81" s="23"/>
      <c r="J81" s="23"/>
      <c r="K81" s="23"/>
      <c r="L81" s="23"/>
      <c r="M81" s="23"/>
    </row>
    <row r="82" spans="1:13" x14ac:dyDescent="0.3">
      <c r="A82" s="23" t="str">
        <f t="shared" si="0"/>
        <v>FX Conversion</v>
      </c>
      <c r="B82" s="23" t="str">
        <f>"Entity 7"</f>
        <v>Entity 7</v>
      </c>
      <c r="C82" s="23" t="str">
        <f>IF(FX_Conversion!B10="","",FX_Conversion!B10)</f>
        <v/>
      </c>
      <c r="D82" s="23" t="str">
        <f>IF(FX_Conversion!C10="","",FX_Conversion!C10)</f>
        <v/>
      </c>
      <c r="E82" s="23" t="str">
        <f>IF(FX_Conversion!D10="","",FX_Conversion!D10)</f>
        <v/>
      </c>
      <c r="F82" s="23" t="str">
        <f>IF(FX_Conversion!E10="","",FX_Conversion!E10)</f>
        <v/>
      </c>
      <c r="G82" s="23"/>
      <c r="H82" s="23"/>
      <c r="I82" s="23"/>
      <c r="J82" s="23"/>
      <c r="K82" s="23"/>
      <c r="L82" s="23"/>
      <c r="M82" s="23"/>
    </row>
    <row r="83" spans="1:13" x14ac:dyDescent="0.3">
      <c r="A83" s="23" t="str">
        <f t="shared" si="0"/>
        <v>FX Conversion</v>
      </c>
      <c r="B83" s="23" t="str">
        <f>"Entity 8"</f>
        <v>Entity 8</v>
      </c>
      <c r="C83" s="23" t="str">
        <f>IF(FX_Conversion!B11="","",FX_Conversion!B11)</f>
        <v/>
      </c>
      <c r="D83" s="23" t="str">
        <f>IF(FX_Conversion!C11="","",FX_Conversion!C11)</f>
        <v/>
      </c>
      <c r="E83" s="23" t="str">
        <f>IF(FX_Conversion!D11="","",FX_Conversion!D11)</f>
        <v/>
      </c>
      <c r="F83" s="23" t="str">
        <f>IF(FX_Conversion!E11="","",FX_Conversion!E11)</f>
        <v/>
      </c>
      <c r="G83" s="23"/>
      <c r="H83" s="23"/>
      <c r="I83" s="23"/>
      <c r="J83" s="23"/>
      <c r="K83" s="23"/>
      <c r="L83" s="23"/>
      <c r="M83" s="23"/>
    </row>
    <row r="84" spans="1:13" x14ac:dyDescent="0.3">
      <c r="A84" s="28" t="str">
        <f t="shared" si="0"/>
        <v>FX Conversion</v>
      </c>
      <c r="B84" s="28" t="str">
        <f>"Entity 9"</f>
        <v>Entity 9</v>
      </c>
      <c r="C84" s="28" t="str">
        <f>IF(FX_Conversion!B12="","",FX_Conversion!B12)</f>
        <v/>
      </c>
      <c r="D84" s="28" t="str">
        <f>IF(FX_Conversion!C12="","",FX_Conversion!C12)</f>
        <v/>
      </c>
      <c r="E84" s="28" t="str">
        <f>IF(FX_Conversion!D12="","",FX_Conversion!D12)</f>
        <v/>
      </c>
      <c r="F84" s="28" t="str">
        <f>IF(FX_Conversion!E12="","",FX_Conversion!E12)</f>
        <v/>
      </c>
      <c r="G84" s="23"/>
      <c r="H84" s="23"/>
      <c r="I84" s="23"/>
      <c r="J84" s="23"/>
      <c r="K84" s="23"/>
      <c r="L84" s="23"/>
      <c r="M84" s="23"/>
    </row>
    <row r="85" spans="1:13" x14ac:dyDescent="0.3">
      <c r="A85" s="23" t="str">
        <f t="shared" si="0"/>
        <v>FX Conversion</v>
      </c>
      <c r="B85" s="23" t="str">
        <f>"Entity 10"</f>
        <v>Entity 10</v>
      </c>
      <c r="C85" s="23" t="str">
        <f>IF(FX_Conversion!B13="","",FX_Conversion!B13)</f>
        <v/>
      </c>
      <c r="D85" s="23" t="str">
        <f>IF(FX_Conversion!C13="","",FX_Conversion!C13)</f>
        <v/>
      </c>
      <c r="E85" s="23" t="str">
        <f>IF(FX_Conversion!D13="","",FX_Conversion!D13)</f>
        <v/>
      </c>
      <c r="F85" s="23" t="str">
        <f>IF(FX_Conversion!E13="","",FX_Conversion!E13)</f>
        <v/>
      </c>
      <c r="G85" s="23"/>
      <c r="H85" s="23"/>
      <c r="I85" s="23"/>
      <c r="J85" s="23"/>
      <c r="K85" s="23"/>
      <c r="L85" s="23"/>
      <c r="M85" s="23"/>
    </row>
    <row r="86" spans="1:13" x14ac:dyDescent="0.3">
      <c r="A86" s="23" t="s">
        <v>466</v>
      </c>
      <c r="B86" s="23" t="s">
        <v>467</v>
      </c>
      <c r="C86" s="23" t="s">
        <v>91</v>
      </c>
      <c r="D86" s="23" t="str" cm="1">
        <f t="array" ref="D86">IFERROR(INDEX(Global_Rates!$F$4:$F$73,MATCH(1,(Global_Rates!$A$4:$A$73="Local 10-Year Government Bond Yield")*(Global_Rates!$B$4:$B$73=A86),0)),"")</f>
        <v/>
      </c>
      <c r="E86" s="23" t="str" cm="1">
        <f t="array" ref="E86">IFERROR(INDEX(Global_Rates!$F$4:$F$73,MATCH(1,(Global_Rates!$A$4:$A$73="Local Market Risk Premium")*(Global_Rates!$B$4:$B$73=A86),0)),"")</f>
        <v/>
      </c>
      <c r="F86" s="23" t="str" cm="1">
        <f t="array" ref="F86">IFERROR(INDEX(Global_Rates!$F$4:$F$73,MATCH(1,(Global_Rates!$A$4:$A$73="Local Corporate Bond Yield")*(Global_Rates!$B$4:$B$73=A86),0)),"")</f>
        <v/>
      </c>
      <c r="G86" s="23"/>
      <c r="H86" s="23"/>
      <c r="I86" s="23"/>
      <c r="J86" s="23"/>
      <c r="K86" s="23"/>
      <c r="L86" s="23"/>
      <c r="M86" s="23"/>
    </row>
    <row r="87" spans="1:13" x14ac:dyDescent="0.3">
      <c r="A87" s="23" t="s">
        <v>468</v>
      </c>
      <c r="B87" s="23">
        <f ca="1">EOMONTH(TODAY(),-1)</f>
        <v>46142</v>
      </c>
      <c r="C87" s="23"/>
      <c r="D87" s="23" t="str" cm="1">
        <f t="array" ref="D87">IFERROR(INDEX(Global_Rates!$F$4:$F$73,MATCH(1,(Global_Rates!$A$4:$A$73="Local 10-Year Government Bond Yield")*(Global_Rates!$B$4:$B$73=A87),0)),"")</f>
        <v/>
      </c>
      <c r="E87" s="23" t="str" cm="1">
        <f t="array" ref="E87">IFERROR(INDEX(Global_Rates!$F$4:$F$73,MATCH(1,(Global_Rates!$A$4:$A$73="Local Market Risk Premium")*(Global_Rates!$B$4:$B$73=A87),0)),"")</f>
        <v/>
      </c>
      <c r="F87" s="23" t="str" cm="1">
        <f t="array" ref="F87">IFERROR(INDEX(Global_Rates!$F$4:$F$73,MATCH(1,(Global_Rates!$A$4:$A$73="Local Corporate Bond Yield")*(Global_Rates!$B$4:$B$73=A87),0)),"")</f>
        <v/>
      </c>
      <c r="G87" s="23"/>
      <c r="H87" s="23"/>
      <c r="I87" s="23"/>
      <c r="J87" s="23"/>
      <c r="K87" s="23"/>
      <c r="L87" s="23"/>
      <c r="M87" s="23"/>
    </row>
    <row r="88" spans="1:13" x14ac:dyDescent="0.3">
      <c r="A88" s="23" t="s">
        <v>469</v>
      </c>
      <c r="B88" s="23">
        <f ca="1">EOMONTH(TODAY(),-3)</f>
        <v>46081</v>
      </c>
      <c r="C88" s="23"/>
      <c r="D88" s="23" t="str" cm="1">
        <f t="array" ref="D88">IFERROR(INDEX(Global_Rates!$F$4:$F$73,MATCH(1,(Global_Rates!$A$4:$A$73="Local 10-Year Government Bond Yield")*(Global_Rates!$B$4:$B$73=A88),0)),"")</f>
        <v/>
      </c>
      <c r="E88" s="23" t="str" cm="1">
        <f t="array" ref="E88">IFERROR(INDEX(Global_Rates!$F$4:$F$73,MATCH(1,(Global_Rates!$A$4:$A$73="Local Market Risk Premium")*(Global_Rates!$B$4:$B$73=A88),0)),"")</f>
        <v/>
      </c>
      <c r="F88" s="23" t="str" cm="1">
        <f t="array" ref="F88">IFERROR(INDEX(Global_Rates!$F$4:$F$73,MATCH(1,(Global_Rates!$A$4:$A$73="Local Corporate Bond Yield")*(Global_Rates!$B$4:$B$73=A88),0)),"")</f>
        <v/>
      </c>
      <c r="G88" s="23"/>
      <c r="H88" s="23"/>
      <c r="I88" s="23"/>
      <c r="J88" s="23"/>
      <c r="K88" s="23"/>
      <c r="L88" s="23"/>
      <c r="M88" s="23"/>
    </row>
    <row r="89" spans="1:13" x14ac:dyDescent="0.3">
      <c r="A89" s="23" t="s">
        <v>470</v>
      </c>
      <c r="B89" s="23">
        <f ca="1">EOMONTH(TODAY(),-12)</f>
        <v>45808</v>
      </c>
      <c r="C89" s="23"/>
      <c r="D89" s="23" t="str" cm="1">
        <f t="array" ref="D89">IFERROR(INDEX(Global_Rates!$F$4:$F$73,MATCH(1,(Global_Rates!$A$4:$A$73="Local 10-Year Government Bond Yield")*(Global_Rates!$B$4:$B$73=A89),0)),"")</f>
        <v/>
      </c>
      <c r="E89" s="23" t="str" cm="1">
        <f t="array" ref="E89">IFERROR(INDEX(Global_Rates!$F$4:$F$73,MATCH(1,(Global_Rates!$A$4:$A$73="Local Market Risk Premium")*(Global_Rates!$B$4:$B$73=A89),0)),"")</f>
        <v/>
      </c>
      <c r="F89" s="23" t="str" cm="1">
        <f t="array" ref="F89">IFERROR(INDEX(Global_Rates!$F$4:$F$73,MATCH(1,(Global_Rates!$A$4:$A$73="Local Corporate Bond Yield")*(Global_Rates!$B$4:$B$73=A89),0)),"")</f>
        <v/>
      </c>
      <c r="G89" s="23"/>
      <c r="H89" s="23"/>
      <c r="I89" s="23"/>
      <c r="J89" s="23"/>
      <c r="K89" s="23"/>
      <c r="L89" s="23"/>
      <c r="M89" s="23"/>
    </row>
    <row r="90" spans="1:13" x14ac:dyDescent="0.3">
      <c r="A90" s="23" t="s">
        <v>79</v>
      </c>
      <c r="B90" s="23" t="str">
        <f>IF(Entity_Ownership!G9="","",Entity_Ownership!G9)</f>
        <v/>
      </c>
      <c r="C90" s="23">
        <f>IFERROR(INDEX(FX_Conversion!$C$4:$C$13,MATCH(A90,FX_Conversion!$A$4:$A$13,0)),"")</f>
        <v>0</v>
      </c>
      <c r="D90" s="23" cm="1">
        <f t="array" ref="D90">IFERROR(INDEX(Global_Rates!$F$4:$F$73,MATCH(1,(Global_Rates!$A$4:$A$73="Local 10-Year Government Bond Yield")*(Global_Rates!$B$4:$B$73=A90),0)),"")</f>
        <v>0</v>
      </c>
      <c r="E90" s="23" cm="1">
        <f t="array" ref="E90">IFERROR(INDEX(Global_Rates!$F$4:$F$73,MATCH(1,(Global_Rates!$A$4:$A$73="Local Market Risk Premium")*(Global_Rates!$B$4:$B$73=A90),0)),"")</f>
        <v>0</v>
      </c>
      <c r="F90" s="23" cm="1">
        <f t="array" ref="F90">IFERROR(INDEX(Global_Rates!$F$4:$F$73,MATCH(1,(Global_Rates!$A$4:$A$73="Local Corporate Bond Yield")*(Global_Rates!$B$4:$B$73=A90),0)),"")</f>
        <v>0</v>
      </c>
      <c r="G90" s="23"/>
      <c r="H90" s="23"/>
      <c r="I90" s="23"/>
      <c r="J90" s="23"/>
      <c r="K90" s="23"/>
      <c r="L90" s="23"/>
      <c r="M90" s="23"/>
    </row>
    <row r="91" spans="1:13" x14ac:dyDescent="0.3">
      <c r="A91" s="23" t="s">
        <v>80</v>
      </c>
      <c r="B91" s="23" t="str">
        <f>IF(Entity_Ownership!G10="","",Entity_Ownership!G10)</f>
        <v/>
      </c>
      <c r="C91" s="23">
        <f>IFERROR(INDEX(FX_Conversion!$C$4:$C$13,MATCH(A91,FX_Conversion!$A$4:$A$13,0)),"")</f>
        <v>0</v>
      </c>
      <c r="D91" s="23" cm="1">
        <f t="array" ref="D91">IFERROR(INDEX(Global_Rates!$F$4:$F$73,MATCH(1,(Global_Rates!$A$4:$A$73="Local 10-Year Government Bond Yield")*(Global_Rates!$B$4:$B$73=A91),0)),"")</f>
        <v>0</v>
      </c>
      <c r="E91" s="23" cm="1">
        <f t="array" ref="E91">IFERROR(INDEX(Global_Rates!$F$4:$F$73,MATCH(1,(Global_Rates!$A$4:$A$73="Local Market Risk Premium")*(Global_Rates!$B$4:$B$73=A91),0)),"")</f>
        <v>0</v>
      </c>
      <c r="F91" s="23" cm="1">
        <f t="array" ref="F91">IFERROR(INDEX(Global_Rates!$F$4:$F$73,MATCH(1,(Global_Rates!$A$4:$A$73="Local Corporate Bond Yield")*(Global_Rates!$B$4:$B$73=A91),0)),"")</f>
        <v>0</v>
      </c>
      <c r="G91" s="23"/>
      <c r="H91" s="23"/>
      <c r="I91" s="23"/>
      <c r="J91" s="23"/>
      <c r="K91" s="23"/>
      <c r="L91" s="23"/>
      <c r="M91" s="23"/>
    </row>
    <row r="92" spans="1:13" x14ac:dyDescent="0.3">
      <c r="A92" s="23" t="s">
        <v>81</v>
      </c>
      <c r="B92" s="23" t="str">
        <f>IF(Entity_Ownership!G11="","",Entity_Ownership!G11)</f>
        <v/>
      </c>
      <c r="C92" s="23">
        <f>IFERROR(INDEX(FX_Conversion!$C$4:$C$13,MATCH(A92,FX_Conversion!$A$4:$A$13,0)),"")</f>
        <v>0</v>
      </c>
      <c r="D92" s="23" cm="1">
        <f t="array" ref="D92">IFERROR(INDEX(Global_Rates!$F$4:$F$73,MATCH(1,(Global_Rates!$A$4:$A$73="Local 10-Year Government Bond Yield")*(Global_Rates!$B$4:$B$73=A92),0)),"")</f>
        <v>0</v>
      </c>
      <c r="E92" s="23" cm="1">
        <f t="array" ref="E92">IFERROR(INDEX(Global_Rates!$F$4:$F$73,MATCH(1,(Global_Rates!$A$4:$A$73="Local Market Risk Premium")*(Global_Rates!$B$4:$B$73=A92),0)),"")</f>
        <v>0</v>
      </c>
      <c r="F92" s="23" cm="1">
        <f t="array" ref="F92">IFERROR(INDEX(Global_Rates!$F$4:$F$73,MATCH(1,(Global_Rates!$A$4:$A$73="Local Corporate Bond Yield")*(Global_Rates!$B$4:$B$73=A92),0)),"")</f>
        <v>0</v>
      </c>
      <c r="G92" s="23"/>
      <c r="H92" s="23"/>
      <c r="I92" s="23"/>
      <c r="J92" s="23"/>
      <c r="K92" s="23"/>
      <c r="L92" s="23"/>
      <c r="M92" s="23"/>
    </row>
    <row r="93" spans="1:13" x14ac:dyDescent="0.3">
      <c r="A93" s="23" t="s">
        <v>97</v>
      </c>
      <c r="B93" s="23" t="str">
        <f>IF(Entity_Ownership!G12="","",Entity_Ownership!G12)</f>
        <v/>
      </c>
      <c r="C93" s="23">
        <f>IFERROR(INDEX(FX_Conversion!$C$4:$C$13,MATCH(A93,FX_Conversion!$A$4:$A$13,0)),"")</f>
        <v>0</v>
      </c>
      <c r="D93" s="23" cm="1">
        <f t="array" ref="D93">IFERROR(INDEX(Global_Rates!$F$4:$F$73,MATCH(1,(Global_Rates!$A$4:$A$73="Local 10-Year Government Bond Yield")*(Global_Rates!$B$4:$B$73=A93),0)),"")</f>
        <v>0</v>
      </c>
      <c r="E93" s="23" cm="1">
        <f t="array" ref="E93">IFERROR(INDEX(Global_Rates!$F$4:$F$73,MATCH(1,(Global_Rates!$A$4:$A$73="Local Market Risk Premium")*(Global_Rates!$B$4:$B$73=A93),0)),"")</f>
        <v>0</v>
      </c>
      <c r="F93" s="23" cm="1">
        <f t="array" ref="F93">IFERROR(INDEX(Global_Rates!$F$4:$F$73,MATCH(1,(Global_Rates!$A$4:$A$73="Local Corporate Bond Yield")*(Global_Rates!$B$4:$B$73=A93),0)),"")</f>
        <v>0</v>
      </c>
      <c r="G93" s="23"/>
      <c r="H93" s="23"/>
      <c r="I93" s="23"/>
      <c r="J93" s="23"/>
      <c r="K93" s="23"/>
      <c r="L93" s="23"/>
      <c r="M93" s="23"/>
    </row>
    <row r="94" spans="1:13" x14ac:dyDescent="0.3">
      <c r="A94" s="23" t="s">
        <v>14</v>
      </c>
      <c r="B94" s="23" t="str">
        <f>IF(Entity_Ownership!G13="","",Entity_Ownership!G13)</f>
        <v/>
      </c>
      <c r="C94" s="23">
        <f>IFERROR(INDEX(FX_Conversion!$C$4:$C$13,MATCH(A94,FX_Conversion!$A$4:$A$13,0)),"")</f>
        <v>0</v>
      </c>
      <c r="D94" s="23" cm="1">
        <f t="array" ref="D94">IFERROR(INDEX(Global_Rates!$F$4:$F$73,MATCH(1,(Global_Rates!$A$4:$A$73="Local 10-Year Government Bond Yield")*(Global_Rates!$B$4:$B$73=A94),0)),"")</f>
        <v>0</v>
      </c>
      <c r="E94" s="23" cm="1">
        <f t="array" ref="E94">IFERROR(INDEX(Global_Rates!$F$4:$F$73,MATCH(1,(Global_Rates!$A$4:$A$73="Local Market Risk Premium")*(Global_Rates!$B$4:$B$73=A94),0)),"")</f>
        <v>0</v>
      </c>
      <c r="F94" s="23" cm="1">
        <f t="array" ref="F94">IFERROR(INDEX(Global_Rates!$F$4:$F$73,MATCH(1,(Global_Rates!$A$4:$A$73="Local Corporate Bond Yield")*(Global_Rates!$B$4:$B$73=A94),0)),"")</f>
        <v>0</v>
      </c>
      <c r="G94" s="23"/>
      <c r="H94" s="23"/>
      <c r="I94" s="23"/>
      <c r="J94" s="23"/>
      <c r="K94" s="23"/>
      <c r="L94" s="23"/>
      <c r="M94" s="23"/>
    </row>
    <row r="95" spans="1:13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spans="1:13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 spans="1:13" x14ac:dyDescent="0.3">
      <c r="A97" s="28" t="s">
        <v>471</v>
      </c>
      <c r="B97" s="28" t="s">
        <v>472</v>
      </c>
      <c r="C97" s="28" t="s">
        <v>473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 spans="1:13" x14ac:dyDescent="0.3">
      <c r="A98" s="23" t="str">
        <f>IF(COUNTIF(Global_Rates!K4:K73,"WARNING*")&gt;0,"WARNING: Rate Missing — Fallback Value Used","All Required Rates Present")</f>
        <v>WARNING: Rate Missing — Fallback Value Used</v>
      </c>
      <c r="B98" s="23" t="s">
        <v>474</v>
      </c>
      <c r="C98" s="23" t="s">
        <v>475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 spans="1:13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 spans="1:13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 spans="1:13" x14ac:dyDescent="0.3">
      <c r="A101" s="28" t="s">
        <v>476</v>
      </c>
      <c r="B101" s="28" t="s">
        <v>91</v>
      </c>
      <c r="C101" s="28" t="s">
        <v>90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 spans="1:13" x14ac:dyDescent="0.3">
      <c r="A102" s="23" t="s">
        <v>468</v>
      </c>
      <c r="B102" s="29"/>
      <c r="C102" s="23" t="s">
        <v>477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13" x14ac:dyDescent="0.3">
      <c r="A103" s="23" t="s">
        <v>469</v>
      </c>
      <c r="B103" s="29"/>
      <c r="C103" s="23" t="s">
        <v>478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 spans="1:13" x14ac:dyDescent="0.3">
      <c r="A104" s="23" t="s">
        <v>470</v>
      </c>
      <c r="B104" s="29"/>
      <c r="C104" s="23" t="s">
        <v>478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 spans="1:13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 spans="1:13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13" x14ac:dyDescent="0.3">
      <c r="A107" s="28" t="s">
        <v>479</v>
      </c>
      <c r="B107" s="28" t="s">
        <v>444</v>
      </c>
      <c r="C107" s="28" t="s">
        <v>445</v>
      </c>
      <c r="D107" s="28" t="s">
        <v>480</v>
      </c>
      <c r="E107" s="28" t="s">
        <v>481</v>
      </c>
      <c r="F107" s="23"/>
      <c r="G107" s="23"/>
      <c r="H107" s="23"/>
      <c r="I107" s="23"/>
      <c r="J107" s="23"/>
      <c r="K107" s="23"/>
      <c r="L107" s="23"/>
      <c r="M107" s="23"/>
    </row>
    <row r="108" spans="1:13" x14ac:dyDescent="0.3">
      <c r="A108" s="29"/>
      <c r="B108" s="29"/>
      <c r="C108" s="29"/>
      <c r="D108" s="29" t="s">
        <v>482</v>
      </c>
      <c r="E108" s="29" t="s">
        <v>18</v>
      </c>
      <c r="F108" s="23"/>
      <c r="G108" s="23"/>
      <c r="H108" s="23"/>
      <c r="I108" s="23"/>
      <c r="J108" s="23"/>
      <c r="K108" s="23"/>
      <c r="L108" s="23"/>
      <c r="M108" s="23"/>
    </row>
    <row r="109" spans="1:13" x14ac:dyDescent="0.3">
      <c r="A109" s="29"/>
      <c r="B109" s="29"/>
      <c r="C109" s="29"/>
      <c r="D109" s="29" t="s">
        <v>482</v>
      </c>
      <c r="E109" s="29" t="s">
        <v>18</v>
      </c>
      <c r="F109" s="23"/>
      <c r="G109" s="23"/>
      <c r="H109" s="23"/>
      <c r="I109" s="23"/>
      <c r="J109" s="23"/>
      <c r="K109" s="23"/>
      <c r="L109" s="23"/>
      <c r="M109" s="23"/>
    </row>
    <row r="110" spans="1:13" x14ac:dyDescent="0.3">
      <c r="A110" s="29"/>
      <c r="B110" s="29"/>
      <c r="C110" s="29"/>
      <c r="D110" s="29" t="s">
        <v>482</v>
      </c>
      <c r="E110" s="29" t="s">
        <v>18</v>
      </c>
      <c r="F110" s="23"/>
      <c r="G110" s="23"/>
      <c r="H110" s="23"/>
      <c r="I110" s="23"/>
      <c r="J110" s="23"/>
      <c r="K110" s="23"/>
      <c r="L110" s="23"/>
      <c r="M110" s="23"/>
    </row>
    <row r="111" spans="1:13" x14ac:dyDescent="0.3">
      <c r="A111" s="29"/>
      <c r="B111" s="29"/>
      <c r="C111" s="29"/>
      <c r="D111" s="29" t="s">
        <v>482</v>
      </c>
      <c r="E111" s="29" t="s">
        <v>18</v>
      </c>
      <c r="F111" s="23"/>
      <c r="G111" s="23"/>
      <c r="H111" s="23"/>
      <c r="I111" s="23"/>
      <c r="J111" s="23"/>
      <c r="K111" s="23"/>
      <c r="L111" s="23"/>
      <c r="M111" s="23"/>
    </row>
    <row r="112" spans="1:13" x14ac:dyDescent="0.3">
      <c r="A112" s="29"/>
      <c r="B112" s="29"/>
      <c r="C112" s="29"/>
      <c r="D112" s="29" t="s">
        <v>482</v>
      </c>
      <c r="E112" s="29" t="s">
        <v>18</v>
      </c>
      <c r="F112" s="23"/>
      <c r="G112" s="23"/>
      <c r="H112" s="23"/>
      <c r="I112" s="23"/>
      <c r="J112" s="23"/>
      <c r="K112" s="23"/>
      <c r="L112" s="23"/>
      <c r="M112" s="23"/>
    </row>
  </sheetData>
  <dataValidations count="2">
    <dataValidation type="list" allowBlank="1" showInputMessage="1" showErrorMessage="1" sqref="I4:I73" xr:uid="{8801607D-89A4-4E5D-BF55-215DAD59B687}">
      <formula1>NR_List_Yes_No</formula1>
    </dataValidation>
    <dataValidation type="list" allowBlank="1" showInputMessage="1" showErrorMessage="1" sqref="J4:J73" xr:uid="{AE275F91-985A-4F1C-ADF9-1AA1F008C3E8}">
      <formula1>NR_List_Rate_Override_Reason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60DE-4818-4180-BC31-3C1113D1E95F}">
  <dimension ref="A1:M20"/>
  <sheetViews>
    <sheetView workbookViewId="0">
      <selection sqref="A1:M1"/>
    </sheetView>
  </sheetViews>
  <sheetFormatPr defaultRowHeight="14.4" x14ac:dyDescent="0.3"/>
  <cols>
    <col min="1" max="1" width="31.33203125" bestFit="1" customWidth="1"/>
    <col min="2" max="2" width="54.6640625" bestFit="1" customWidth="1"/>
    <col min="3" max="3" width="11.6640625" bestFit="1" customWidth="1"/>
    <col min="4" max="4" width="14.6640625" bestFit="1" customWidth="1"/>
    <col min="5" max="5" width="20.5546875" bestFit="1" customWidth="1"/>
    <col min="6" max="6" width="7.44140625" bestFit="1" customWidth="1"/>
    <col min="7" max="7" width="8.44140625" bestFit="1" customWidth="1"/>
    <col min="8" max="8" width="15.6640625" bestFit="1" customWidth="1"/>
    <col min="9" max="9" width="18.44140625" bestFit="1" customWidth="1"/>
    <col min="10" max="10" width="15.88671875" bestFit="1" customWidth="1"/>
    <col min="11" max="11" width="12.109375" bestFit="1" customWidth="1"/>
    <col min="12" max="12" width="5.88671875" bestFit="1" customWidth="1"/>
    <col min="13" max="13" width="35.5546875" bestFit="1" customWidth="1"/>
  </cols>
  <sheetData>
    <row r="1" spans="1:13" x14ac:dyDescent="0.3">
      <c r="A1" s="31" t="s">
        <v>483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x14ac:dyDescent="0.3">
      <c r="A3" s="28" t="s">
        <v>484</v>
      </c>
      <c r="B3" s="28" t="s">
        <v>485</v>
      </c>
      <c r="C3" s="28" t="s">
        <v>330</v>
      </c>
      <c r="D3" s="28" t="s">
        <v>486</v>
      </c>
      <c r="E3" s="28" t="s">
        <v>487</v>
      </c>
      <c r="F3" s="28" t="s">
        <v>445</v>
      </c>
      <c r="G3" s="28" t="s">
        <v>85</v>
      </c>
      <c r="H3" s="28" t="s">
        <v>488</v>
      </c>
      <c r="I3" s="28" t="s">
        <v>489</v>
      </c>
      <c r="J3" s="28" t="s">
        <v>490</v>
      </c>
      <c r="K3" s="28" t="s">
        <v>491</v>
      </c>
      <c r="L3" s="28" t="s">
        <v>90</v>
      </c>
      <c r="M3" s="28" t="s">
        <v>384</v>
      </c>
    </row>
    <row r="4" spans="1:13" x14ac:dyDescent="0.3">
      <c r="A4" s="23" t="s">
        <v>74</v>
      </c>
      <c r="B4" s="29"/>
      <c r="C4" s="30"/>
      <c r="D4" s="29"/>
      <c r="E4" s="30"/>
      <c r="F4" s="29"/>
      <c r="G4" s="29"/>
      <c r="H4" s="29"/>
      <c r="I4" s="24"/>
      <c r="J4" s="29"/>
      <c r="K4" s="29"/>
      <c r="L4" s="23"/>
      <c r="M4" s="23" t="str">
        <f t="shared" ref="M4:M13" si="0">IF(OR(F4="",G4=""),"WARNING: Missing Country/Currency Data","")</f>
        <v>WARNING: Missing Country/Currency Data</v>
      </c>
    </row>
    <row r="5" spans="1:13" x14ac:dyDescent="0.3">
      <c r="A5" s="23" t="s">
        <v>75</v>
      </c>
      <c r="B5" s="29"/>
      <c r="C5" s="30"/>
      <c r="D5" s="29"/>
      <c r="E5" s="30"/>
      <c r="F5" s="29"/>
      <c r="G5" s="29"/>
      <c r="H5" s="29"/>
      <c r="I5" s="24"/>
      <c r="J5" s="29"/>
      <c r="K5" s="29"/>
      <c r="L5" s="23"/>
      <c r="M5" s="23" t="str">
        <f t="shared" si="0"/>
        <v>WARNING: Missing Country/Currency Data</v>
      </c>
    </row>
    <row r="6" spans="1:13" x14ac:dyDescent="0.3">
      <c r="A6" s="23" t="s">
        <v>76</v>
      </c>
      <c r="B6" s="29"/>
      <c r="C6" s="30"/>
      <c r="D6" s="29"/>
      <c r="E6" s="30"/>
      <c r="F6" s="29"/>
      <c r="G6" s="29"/>
      <c r="H6" s="29"/>
      <c r="I6" s="24"/>
      <c r="J6" s="29"/>
      <c r="K6" s="29"/>
      <c r="L6" s="23"/>
      <c r="M6" s="23" t="str">
        <f t="shared" si="0"/>
        <v>WARNING: Missing Country/Currency Data</v>
      </c>
    </row>
    <row r="7" spans="1:13" x14ac:dyDescent="0.3">
      <c r="A7" s="23" t="s">
        <v>77</v>
      </c>
      <c r="B7" s="29"/>
      <c r="C7" s="30"/>
      <c r="D7" s="29"/>
      <c r="E7" s="30"/>
      <c r="F7" s="29"/>
      <c r="G7" s="29"/>
      <c r="H7" s="29"/>
      <c r="I7" s="24"/>
      <c r="J7" s="29"/>
      <c r="K7" s="29"/>
      <c r="L7" s="23"/>
      <c r="M7" s="23" t="str">
        <f t="shared" si="0"/>
        <v>WARNING: Missing Country/Currency Data</v>
      </c>
    </row>
    <row r="8" spans="1:13" x14ac:dyDescent="0.3">
      <c r="A8" s="23" t="s">
        <v>78</v>
      </c>
      <c r="B8" s="29"/>
      <c r="C8" s="30"/>
      <c r="D8" s="29"/>
      <c r="E8" s="30"/>
      <c r="F8" s="29"/>
      <c r="G8" s="29"/>
      <c r="H8" s="29"/>
      <c r="I8" s="24"/>
      <c r="J8" s="29"/>
      <c r="K8" s="29"/>
      <c r="L8" s="23"/>
      <c r="M8" s="23" t="str">
        <f t="shared" si="0"/>
        <v>WARNING: Missing Country/Currency Data</v>
      </c>
    </row>
    <row r="9" spans="1:13" x14ac:dyDescent="0.3">
      <c r="A9" s="23" t="s">
        <v>79</v>
      </c>
      <c r="B9" s="29"/>
      <c r="C9" s="30"/>
      <c r="D9" s="29"/>
      <c r="E9" s="30"/>
      <c r="F9" s="29"/>
      <c r="G9" s="29"/>
      <c r="H9" s="29"/>
      <c r="I9" s="24"/>
      <c r="J9" s="29"/>
      <c r="K9" s="29"/>
      <c r="L9" s="23"/>
      <c r="M9" s="23" t="str">
        <f t="shared" si="0"/>
        <v>WARNING: Missing Country/Currency Data</v>
      </c>
    </row>
    <row r="10" spans="1:13" x14ac:dyDescent="0.3">
      <c r="A10" s="23" t="s">
        <v>80</v>
      </c>
      <c r="B10" s="29"/>
      <c r="C10" s="30"/>
      <c r="D10" s="29"/>
      <c r="E10" s="30"/>
      <c r="F10" s="29"/>
      <c r="G10" s="29"/>
      <c r="H10" s="29"/>
      <c r="I10" s="24"/>
      <c r="J10" s="29"/>
      <c r="K10" s="29"/>
      <c r="L10" s="23"/>
      <c r="M10" s="23" t="str">
        <f t="shared" si="0"/>
        <v>WARNING: Missing Country/Currency Data</v>
      </c>
    </row>
    <row r="11" spans="1:13" x14ac:dyDescent="0.3">
      <c r="A11" s="23" t="s">
        <v>81</v>
      </c>
      <c r="B11" s="29"/>
      <c r="C11" s="30"/>
      <c r="D11" s="29"/>
      <c r="E11" s="30"/>
      <c r="F11" s="29"/>
      <c r="G11" s="29"/>
      <c r="H11" s="29"/>
      <c r="I11" s="24"/>
      <c r="J11" s="29"/>
      <c r="K11" s="29"/>
      <c r="L11" s="23"/>
      <c r="M11" s="23" t="str">
        <f t="shared" si="0"/>
        <v>WARNING: Missing Country/Currency Data</v>
      </c>
    </row>
    <row r="12" spans="1:13" x14ac:dyDescent="0.3">
      <c r="A12" s="23" t="s">
        <v>97</v>
      </c>
      <c r="B12" s="29"/>
      <c r="C12" s="30"/>
      <c r="D12" s="29"/>
      <c r="E12" s="30"/>
      <c r="F12" s="29"/>
      <c r="G12" s="29"/>
      <c r="H12" s="29"/>
      <c r="I12" s="24"/>
      <c r="J12" s="29"/>
      <c r="K12" s="29"/>
      <c r="L12" s="23"/>
      <c r="M12" s="23" t="str">
        <f t="shared" si="0"/>
        <v>WARNING: Missing Country/Currency Data</v>
      </c>
    </row>
    <row r="13" spans="1:13" x14ac:dyDescent="0.3">
      <c r="A13" s="23" t="s">
        <v>14</v>
      </c>
      <c r="B13" s="29"/>
      <c r="C13" s="30"/>
      <c r="D13" s="29"/>
      <c r="E13" s="30"/>
      <c r="F13" s="29"/>
      <c r="G13" s="29"/>
      <c r="H13" s="29"/>
      <c r="I13" s="24"/>
      <c r="J13" s="29"/>
      <c r="K13" s="29"/>
      <c r="L13" s="23"/>
      <c r="M13" s="23" t="str">
        <f t="shared" si="0"/>
        <v>WARNING: Missing Country/Currency Data</v>
      </c>
    </row>
    <row r="14" spans="1:13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x14ac:dyDescent="0.3">
      <c r="A15" s="28" t="s">
        <v>492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3" x14ac:dyDescent="0.3">
      <c r="A16" s="23" t="s">
        <v>493</v>
      </c>
      <c r="B16" s="23" t="s">
        <v>494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3">
      <c r="A17" s="23" t="s">
        <v>495</v>
      </c>
      <c r="B17" s="23" t="s">
        <v>496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3">
      <c r="A18" s="23" t="s">
        <v>497</v>
      </c>
      <c r="B18" s="23" t="s">
        <v>498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3">
      <c r="A19" s="23" t="s">
        <v>499</v>
      </c>
      <c r="B19" s="23" t="s">
        <v>500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</sheetData>
  <dataValidations count="5">
    <dataValidation type="list" allowBlank="1" showInputMessage="1" showErrorMessage="1" errorTitle="Invalid value" error="Please use the dropdown list or leave the cell blank." promptTitle="Select from list" prompt="Choose a value from the dropdown or leave blank for AI ingestion." sqref="B4:B13" xr:uid="{8AA1846D-7022-4EA3-B6CF-91D4EF3D2394}">
      <formula1>NR_List_Entity</formula1>
    </dataValidation>
    <dataValidation type="list" allowBlank="1" showInputMessage="1" showErrorMessage="1" errorTitle="Invalid value" error="Please use the dropdown list or leave the cell blank." promptTitle="Select from list" prompt="Choose a value from the dropdown or leave blank for AI ingestion." sqref="F4:F13" xr:uid="{BFDAAD4D-D11D-4CE9-ABA5-FB0E7F17AF73}">
      <formula1>NR_List_Country</formula1>
    </dataValidation>
    <dataValidation type="list" allowBlank="1" showInputMessage="1" showErrorMessage="1" errorTitle="Invalid value" error="Please use the dropdown list or leave the cell blank." promptTitle="Select from list" prompt="Choose a value from the dropdown or leave blank for AI ingestion." sqref="G4:G13" xr:uid="{71FD039A-F3CC-4A8A-ADC9-35105ED962AF}">
      <formula1>NR_List_Currency</formula1>
    </dataValidation>
    <dataValidation type="list" allowBlank="1" showInputMessage="1" showErrorMessage="1" errorTitle="Invalid value" error="Please use the dropdown list or leave the cell blank." promptTitle="Select from list" prompt="Choose a value from the dropdown or leave blank for AI ingestion." sqref="H4:H13" xr:uid="{CDA3B1B0-31BF-45D2-BD6E-C1C8E95AE4F2}">
      <formula1>NR_List_JV_Contribution_Type</formula1>
    </dataValidation>
    <dataValidation type="list" allowBlank="1" showInputMessage="1" showErrorMessage="1" errorTitle="Invalid value" error="Please use the dropdown list or leave the cell blank." promptTitle="Select from list" prompt="Choose a value from the dropdown or leave blank for AI ingestion." sqref="K4:K13" xr:uid="{CDE6083B-793D-467C-A96F-FEF1EB3D594E}">
      <formula1>NR_List_Waterfall_Tier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8D43-05B2-40C7-A606-F039C1FC27A2}">
  <dimension ref="A1:O32"/>
  <sheetViews>
    <sheetView workbookViewId="0"/>
  </sheetViews>
  <sheetFormatPr defaultRowHeight="14.4" x14ac:dyDescent="0.3"/>
  <cols>
    <col min="1" max="1" width="49" bestFit="1" customWidth="1"/>
    <col min="2" max="2" width="6.88671875" bestFit="1" customWidth="1"/>
    <col min="3" max="3" width="17" bestFit="1" customWidth="1"/>
    <col min="4" max="4" width="5.6640625" bestFit="1" customWidth="1"/>
    <col min="5" max="5" width="4.5546875" bestFit="1" customWidth="1"/>
    <col min="6" max="6" width="15.33203125" bestFit="1" customWidth="1"/>
    <col min="7" max="7" width="16" bestFit="1" customWidth="1"/>
    <col min="8" max="8" width="6.33203125" bestFit="1" customWidth="1"/>
    <col min="9" max="9" width="13.109375" bestFit="1" customWidth="1"/>
    <col min="10" max="10" width="20.6640625" bestFit="1" customWidth="1"/>
    <col min="11" max="11" width="9.88671875" bestFit="1" customWidth="1"/>
    <col min="12" max="12" width="14.33203125" bestFit="1" customWidth="1"/>
    <col min="13" max="13" width="14.109375" bestFit="1" customWidth="1"/>
    <col min="14" max="14" width="13.33203125" bestFit="1" customWidth="1"/>
    <col min="15" max="15" width="56.44140625" bestFit="1" customWidth="1"/>
  </cols>
  <sheetData>
    <row r="1" spans="1:15" x14ac:dyDescent="0.3">
      <c r="A1" s="31" t="s">
        <v>501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3">
      <c r="A3" s="28" t="s">
        <v>502</v>
      </c>
      <c r="B3" s="28"/>
      <c r="C3" s="28"/>
      <c r="D3" s="28"/>
      <c r="E3" s="28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x14ac:dyDescent="0.3">
      <c r="A4" s="23" t="s">
        <v>503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 x14ac:dyDescent="0.3">
      <c r="A5" s="23" t="s">
        <v>504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1:15" x14ac:dyDescent="0.3">
      <c r="A6" s="23" t="s">
        <v>505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spans="1:15" x14ac:dyDescent="0.3">
      <c r="A7" s="23" t="s">
        <v>506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1:15" x14ac:dyDescent="0.3">
      <c r="A8" s="23" t="s">
        <v>507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3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3">
      <c r="A10" s="28" t="s">
        <v>84</v>
      </c>
      <c r="B10" s="28" t="s">
        <v>117</v>
      </c>
      <c r="C10" s="28" t="s">
        <v>508</v>
      </c>
      <c r="D10" s="28" t="s">
        <v>509</v>
      </c>
      <c r="E10" s="28" t="s">
        <v>119</v>
      </c>
      <c r="F10" s="28" t="s">
        <v>510</v>
      </c>
      <c r="G10" s="28" t="s">
        <v>511</v>
      </c>
      <c r="H10" s="28" t="s">
        <v>137</v>
      </c>
      <c r="I10" s="28" t="s">
        <v>512</v>
      </c>
      <c r="J10" s="28" t="s">
        <v>513</v>
      </c>
      <c r="K10" s="28" t="s">
        <v>514</v>
      </c>
      <c r="L10" s="28" t="s">
        <v>515</v>
      </c>
      <c r="M10" s="28" t="s">
        <v>516</v>
      </c>
      <c r="N10" s="28" t="s">
        <v>517</v>
      </c>
      <c r="O10" s="28" t="s">
        <v>384</v>
      </c>
    </row>
    <row r="11" spans="1:15" x14ac:dyDescent="0.3">
      <c r="A11" s="23" t="s">
        <v>74</v>
      </c>
      <c r="B11" s="34">
        <f>N(Fin_Inputs_Entity1!F9)</f>
        <v>0</v>
      </c>
      <c r="C11" s="34"/>
      <c r="D11" s="35" t="str">
        <f t="shared" ref="D11:D20" si="0">IF(OR(C11="",C11=0),"",B11/C11)</f>
        <v/>
      </c>
      <c r="E11" s="34">
        <f>N(Fin_Inputs_Entity1!F11)</f>
        <v>0</v>
      </c>
      <c r="F11" s="34">
        <f>N(Fin_Inputs_Entity1!F12)</f>
        <v>0</v>
      </c>
      <c r="G11" s="35" t="str">
        <f t="shared" ref="G11:G20" si="1">IF(OR(F11="",F11=0),"",E11/F11)</f>
        <v/>
      </c>
      <c r="H11" s="34">
        <f>N(Fin_Inputs_Entity1!F36)</f>
        <v>0</v>
      </c>
      <c r="I11" s="34"/>
      <c r="J11" s="35" t="str">
        <f t="shared" ref="J11:J20" si="2">IF(OR(I11="",I11=0),"",(B11-H11)/I11)</f>
        <v/>
      </c>
      <c r="K11" s="34">
        <f>N(Fin_Inputs_Entity1!F26)+N(Fin_Inputs_Entity1!F27)</f>
        <v>0</v>
      </c>
      <c r="L11" s="35" t="str">
        <f t="shared" ref="L11:L20" si="3">IF(OR(B11="",B11=0),"",K11/B11)</f>
        <v/>
      </c>
      <c r="M11" s="34"/>
      <c r="N11" s="34" t="str">
        <f t="shared" ref="N11:N20" si="4">IF(OR(M11="",M11=0),"",B11/M11)</f>
        <v/>
      </c>
      <c r="O11" s="23" t="str">
        <f>IF(C11="","WARNING: Debt schedule missing","")&amp;IF(COUNT(Fin_Inputs_Entity1!B5:F37)&lt;=2,IF(C11="","; ","")&amp;"WARNING: Only 1-2 years of data","")&amp;IF((N(Fin_Inputs_Entity1!F21)-N(Fin_Inputs_Entity1!F24)-N(Fin_Inputs_Entity1!F25))&lt;0,IF(OR(C11="",COUNT(Fin_Inputs_Entity1!B5:F37)&lt;=2),"; ","")&amp;"WARNING: Negative working capital","")&amp;IF(N(Fin_Inputs_Entity1!F5)&lt;N(Fin_Inputs_Entity1!E5),IF(OR(C11="",COUNT(Fin_Inputs_Entity1!B5:F37)&lt;=2,(N(Fin_Inputs_Entity1!F21)-N(Fin_Inputs_Entity1!F24)-N(Fin_Inputs_Entity1!F25))&lt;0),"; ","")&amp;"WARNING: Declining revenue","")</f>
        <v>WARNING: Debt schedule missing; WARNING: Only 1-2 years of data</v>
      </c>
    </row>
    <row r="12" spans="1:15" x14ac:dyDescent="0.3">
      <c r="A12" s="23" t="s">
        <v>75</v>
      </c>
      <c r="B12" s="34">
        <f>N(Fin_Inputs_Entity2!F9)</f>
        <v>0</v>
      </c>
      <c r="C12" s="34"/>
      <c r="D12" s="35" t="str">
        <f t="shared" si="0"/>
        <v/>
      </c>
      <c r="E12" s="34">
        <f>N(Fin_Inputs_Entity2!F11)</f>
        <v>0</v>
      </c>
      <c r="F12" s="34">
        <f>N(Fin_Inputs_Entity2!F12)</f>
        <v>0</v>
      </c>
      <c r="G12" s="35" t="str">
        <f t="shared" si="1"/>
        <v/>
      </c>
      <c r="H12" s="34">
        <f>N(Fin_Inputs_Entity2!F36)</f>
        <v>0</v>
      </c>
      <c r="I12" s="34"/>
      <c r="J12" s="35" t="str">
        <f t="shared" si="2"/>
        <v/>
      </c>
      <c r="K12" s="34">
        <f>N(Fin_Inputs_Entity2!F26)+N(Fin_Inputs_Entity2!F27)</f>
        <v>0</v>
      </c>
      <c r="L12" s="35" t="str">
        <f t="shared" si="3"/>
        <v/>
      </c>
      <c r="M12" s="34"/>
      <c r="N12" s="34" t="str">
        <f t="shared" si="4"/>
        <v/>
      </c>
      <c r="O12" s="23" t="str">
        <f>IF(C12="","WARNING: Debt schedule missing","")&amp;IF(COUNT(Fin_Inputs_Entity2!B5:F37)&lt;=2,IF(C12="","; ","")&amp;"WARNING: Only 1-2 years of data","")&amp;IF((N(Fin_Inputs_Entity2!F21)-N(Fin_Inputs_Entity2!F24)-N(Fin_Inputs_Entity2!F25))&lt;0,IF(OR(C12="",COUNT(Fin_Inputs_Entity2!B5:F37)&lt;=2),"; ","")&amp;"WARNING: Negative working capital","")&amp;IF(N(Fin_Inputs_Entity2!F5)&lt;N(Fin_Inputs_Entity2!E5),IF(OR(C12="",COUNT(Fin_Inputs_Entity2!B5:F37)&lt;=2,(N(Fin_Inputs_Entity2!F21)-N(Fin_Inputs_Entity2!F24)-N(Fin_Inputs_Entity2!F25))&lt;0),"; ","")&amp;"WARNING: Declining revenue","")</f>
        <v>WARNING: Debt schedule missing; WARNING: Only 1-2 years of data</v>
      </c>
    </row>
    <row r="13" spans="1:15" x14ac:dyDescent="0.3">
      <c r="A13" s="23" t="s">
        <v>76</v>
      </c>
      <c r="B13" s="34">
        <f>N(Fin_Inputs_Entity3!F9)</f>
        <v>0</v>
      </c>
      <c r="C13" s="34"/>
      <c r="D13" s="35" t="str">
        <f t="shared" si="0"/>
        <v/>
      </c>
      <c r="E13" s="34">
        <f>N(Fin_Inputs_Entity3!F11)</f>
        <v>0</v>
      </c>
      <c r="F13" s="34">
        <f>N(Fin_Inputs_Entity3!F12)</f>
        <v>0</v>
      </c>
      <c r="G13" s="35" t="str">
        <f t="shared" si="1"/>
        <v/>
      </c>
      <c r="H13" s="34">
        <f>N(Fin_Inputs_Entity3!F36)</f>
        <v>0</v>
      </c>
      <c r="I13" s="34"/>
      <c r="J13" s="35" t="str">
        <f t="shared" si="2"/>
        <v/>
      </c>
      <c r="K13" s="34">
        <f>N(Fin_Inputs_Entity3!F26)+N(Fin_Inputs_Entity3!F27)</f>
        <v>0</v>
      </c>
      <c r="L13" s="35" t="str">
        <f t="shared" si="3"/>
        <v/>
      </c>
      <c r="M13" s="34"/>
      <c r="N13" s="34" t="str">
        <f t="shared" si="4"/>
        <v/>
      </c>
      <c r="O13" s="23" t="str">
        <f>IF(C13="","WARNING: Debt schedule missing","")&amp;IF(COUNT(Fin_Inputs_Entity3!B5:F37)&lt;=2,IF(C13="","; ","")&amp;"WARNING: Only 1-2 years of data","")&amp;IF((N(Fin_Inputs_Entity3!F21)-N(Fin_Inputs_Entity3!F24)-N(Fin_Inputs_Entity3!F25))&lt;0,IF(OR(C13="",COUNT(Fin_Inputs_Entity3!B5:F37)&lt;=2),"; ","")&amp;"WARNING: Negative working capital","")&amp;IF(N(Fin_Inputs_Entity3!F5)&lt;N(Fin_Inputs_Entity3!E5),IF(OR(C13="",COUNT(Fin_Inputs_Entity3!B5:F37)&lt;=2,(N(Fin_Inputs_Entity3!F21)-N(Fin_Inputs_Entity3!F24)-N(Fin_Inputs_Entity3!F25))&lt;0),"; ","")&amp;"WARNING: Declining revenue","")</f>
        <v>WARNING: Debt schedule missing; WARNING: Only 1-2 years of data</v>
      </c>
    </row>
    <row r="14" spans="1:15" x14ac:dyDescent="0.3">
      <c r="A14" s="23" t="s">
        <v>77</v>
      </c>
      <c r="B14" s="34">
        <f>N(Fin_Inputs_Entity4!F9)</f>
        <v>0</v>
      </c>
      <c r="C14" s="34"/>
      <c r="D14" s="35" t="str">
        <f t="shared" si="0"/>
        <v/>
      </c>
      <c r="E14" s="34">
        <f>N(Fin_Inputs_Entity4!F11)</f>
        <v>0</v>
      </c>
      <c r="F14" s="34">
        <f>N(Fin_Inputs_Entity4!F12)</f>
        <v>0</v>
      </c>
      <c r="G14" s="35" t="str">
        <f t="shared" si="1"/>
        <v/>
      </c>
      <c r="H14" s="34">
        <f>N(Fin_Inputs_Entity4!F36)</f>
        <v>0</v>
      </c>
      <c r="I14" s="34"/>
      <c r="J14" s="35" t="str">
        <f t="shared" si="2"/>
        <v/>
      </c>
      <c r="K14" s="34">
        <f>N(Fin_Inputs_Entity4!F26)+N(Fin_Inputs_Entity4!F27)</f>
        <v>0</v>
      </c>
      <c r="L14" s="35" t="str">
        <f t="shared" si="3"/>
        <v/>
      </c>
      <c r="M14" s="34"/>
      <c r="N14" s="34" t="str">
        <f t="shared" si="4"/>
        <v/>
      </c>
      <c r="O14" s="23" t="str">
        <f>IF(C14="","WARNING: Debt schedule missing","")&amp;IF(COUNT(Fin_Inputs_Entity4!B5:F37)&lt;=2,IF(C14="","; ","")&amp;"WARNING: Only 1-2 years of data","")&amp;IF((N(Fin_Inputs_Entity4!F21)-N(Fin_Inputs_Entity4!F24)-N(Fin_Inputs_Entity4!F25))&lt;0,IF(OR(C14="",COUNT(Fin_Inputs_Entity4!B5:F37)&lt;=2),"; ","")&amp;"WARNING: Negative working capital","")&amp;IF(N(Fin_Inputs_Entity4!F5)&lt;N(Fin_Inputs_Entity4!E5),IF(OR(C14="",COUNT(Fin_Inputs_Entity4!B5:F37)&lt;=2,(N(Fin_Inputs_Entity4!F21)-N(Fin_Inputs_Entity4!F24)-N(Fin_Inputs_Entity4!F25))&lt;0),"; ","")&amp;"WARNING: Declining revenue","")</f>
        <v>WARNING: Debt schedule missing; WARNING: Only 1-2 years of data</v>
      </c>
    </row>
    <row r="15" spans="1:15" x14ac:dyDescent="0.3">
      <c r="A15" s="23" t="s">
        <v>78</v>
      </c>
      <c r="B15" s="34">
        <f>N(Fin_Inputs_Entity5!F9)</f>
        <v>0</v>
      </c>
      <c r="C15" s="34"/>
      <c r="D15" s="35" t="str">
        <f t="shared" si="0"/>
        <v/>
      </c>
      <c r="E15" s="34">
        <f>N(Fin_Inputs_Entity5!F11)</f>
        <v>0</v>
      </c>
      <c r="F15" s="34">
        <f>N(Fin_Inputs_Entity5!F12)</f>
        <v>0</v>
      </c>
      <c r="G15" s="35" t="str">
        <f t="shared" si="1"/>
        <v/>
      </c>
      <c r="H15" s="34">
        <f>N(Fin_Inputs_Entity5!F36)</f>
        <v>0</v>
      </c>
      <c r="I15" s="34"/>
      <c r="J15" s="35" t="str">
        <f t="shared" si="2"/>
        <v/>
      </c>
      <c r="K15" s="34">
        <f>N(Fin_Inputs_Entity5!F26)+N(Fin_Inputs_Entity5!F27)</f>
        <v>0</v>
      </c>
      <c r="L15" s="35" t="str">
        <f t="shared" si="3"/>
        <v/>
      </c>
      <c r="M15" s="34"/>
      <c r="N15" s="34" t="str">
        <f t="shared" si="4"/>
        <v/>
      </c>
      <c r="O15" s="23" t="str">
        <f>IF(C15="","WARNING: Debt schedule missing","")&amp;IF(COUNT(Fin_Inputs_Entity5!B5:F37)&lt;=2,IF(C15="","; ","")&amp;"WARNING: Only 1-2 years of data","")&amp;IF((N(Fin_Inputs_Entity5!F21)-N(Fin_Inputs_Entity5!F24)-N(Fin_Inputs_Entity5!F25))&lt;0,IF(OR(C15="",COUNT(Fin_Inputs_Entity5!B5:F37)&lt;=2),"; ","")&amp;"WARNING: Negative working capital","")&amp;IF(N(Fin_Inputs_Entity5!F5)&lt;N(Fin_Inputs_Entity5!E5),IF(OR(C15="",COUNT(Fin_Inputs_Entity5!B5:F37)&lt;=2,(N(Fin_Inputs_Entity5!F21)-N(Fin_Inputs_Entity5!F24)-N(Fin_Inputs_Entity5!F25))&lt;0),"; ","")&amp;"WARNING: Declining revenue","")</f>
        <v>WARNING: Debt schedule missing; WARNING: Only 1-2 years of data</v>
      </c>
    </row>
    <row r="16" spans="1:15" x14ac:dyDescent="0.3">
      <c r="A16" s="23" t="s">
        <v>79</v>
      </c>
      <c r="B16" s="34">
        <f>N(Fin_Inputs_Entity6!F9)</f>
        <v>0</v>
      </c>
      <c r="C16" s="34"/>
      <c r="D16" s="35" t="str">
        <f t="shared" si="0"/>
        <v/>
      </c>
      <c r="E16" s="34">
        <f>N(Fin_Inputs_Entity6!F11)</f>
        <v>0</v>
      </c>
      <c r="F16" s="34">
        <f>N(Fin_Inputs_Entity6!F12)</f>
        <v>0</v>
      </c>
      <c r="G16" s="35" t="str">
        <f t="shared" si="1"/>
        <v/>
      </c>
      <c r="H16" s="34">
        <f>N(Fin_Inputs_Entity6!F36)</f>
        <v>0</v>
      </c>
      <c r="I16" s="34"/>
      <c r="J16" s="35" t="str">
        <f t="shared" si="2"/>
        <v/>
      </c>
      <c r="K16" s="34">
        <f>N(Fin_Inputs_Entity6!F26)+N(Fin_Inputs_Entity6!F27)</f>
        <v>0</v>
      </c>
      <c r="L16" s="35" t="str">
        <f t="shared" si="3"/>
        <v/>
      </c>
      <c r="M16" s="34"/>
      <c r="N16" s="34" t="str">
        <f t="shared" si="4"/>
        <v/>
      </c>
      <c r="O16" s="23" t="str">
        <f>IF(C16="","WARNING: Debt schedule missing","")&amp;IF(COUNT(Fin_Inputs_Entity6!B5:F37)&lt;=2,IF(C16="","; ","")&amp;"WARNING: Only 1-2 years of data","")&amp;IF((N(Fin_Inputs_Entity6!F21)-N(Fin_Inputs_Entity6!F24)-N(Fin_Inputs_Entity6!F25))&lt;0,IF(OR(C16="",COUNT(Fin_Inputs_Entity6!B5:F37)&lt;=2),"; ","")&amp;"WARNING: Negative working capital","")&amp;IF(N(Fin_Inputs_Entity6!F5)&lt;N(Fin_Inputs_Entity6!E5),IF(OR(C16="",COUNT(Fin_Inputs_Entity6!B5:F37)&lt;=2,(N(Fin_Inputs_Entity6!F21)-N(Fin_Inputs_Entity6!F24)-N(Fin_Inputs_Entity6!F25))&lt;0),"; ","")&amp;"WARNING: Declining revenue","")</f>
        <v>WARNING: Debt schedule missing; WARNING: Only 1-2 years of data</v>
      </c>
    </row>
    <row r="17" spans="1:15" x14ac:dyDescent="0.3">
      <c r="A17" s="23" t="s">
        <v>80</v>
      </c>
      <c r="B17" s="34">
        <f>N(Fin_Inputs_Entity7!F9)</f>
        <v>0</v>
      </c>
      <c r="C17" s="34"/>
      <c r="D17" s="35" t="str">
        <f t="shared" si="0"/>
        <v/>
      </c>
      <c r="E17" s="34">
        <f>N(Fin_Inputs_Entity7!F11)</f>
        <v>0</v>
      </c>
      <c r="F17" s="34">
        <f>N(Fin_Inputs_Entity7!F12)</f>
        <v>0</v>
      </c>
      <c r="G17" s="35" t="str">
        <f t="shared" si="1"/>
        <v/>
      </c>
      <c r="H17" s="34">
        <f>N(Fin_Inputs_Entity7!F36)</f>
        <v>0</v>
      </c>
      <c r="I17" s="34"/>
      <c r="J17" s="35" t="str">
        <f t="shared" si="2"/>
        <v/>
      </c>
      <c r="K17" s="34">
        <f>N(Fin_Inputs_Entity7!F26)+N(Fin_Inputs_Entity7!F27)</f>
        <v>0</v>
      </c>
      <c r="L17" s="35" t="str">
        <f t="shared" si="3"/>
        <v/>
      </c>
      <c r="M17" s="34"/>
      <c r="N17" s="34" t="str">
        <f t="shared" si="4"/>
        <v/>
      </c>
      <c r="O17" s="23" t="str">
        <f>IF(C17="","WARNING: Debt schedule missing","")&amp;IF(COUNT(Fin_Inputs_Entity7!B5:F37)&lt;=2,IF(C17="","; ","")&amp;"WARNING: Only 1-2 years of data","")&amp;IF((N(Fin_Inputs_Entity7!F21)-N(Fin_Inputs_Entity7!F24)-N(Fin_Inputs_Entity7!F25))&lt;0,IF(OR(C17="",COUNT(Fin_Inputs_Entity7!B5:F37)&lt;=2),"; ","")&amp;"WARNING: Negative working capital","")&amp;IF(N(Fin_Inputs_Entity7!F5)&lt;N(Fin_Inputs_Entity7!E5),IF(OR(C17="",COUNT(Fin_Inputs_Entity7!B5:F37)&lt;=2,(N(Fin_Inputs_Entity7!F21)-N(Fin_Inputs_Entity7!F24)-N(Fin_Inputs_Entity7!F25))&lt;0),"; ","")&amp;"WARNING: Declining revenue","")</f>
        <v>WARNING: Debt schedule missing; WARNING: Only 1-2 years of data</v>
      </c>
    </row>
    <row r="18" spans="1:15" x14ac:dyDescent="0.3">
      <c r="A18" s="23" t="s">
        <v>81</v>
      </c>
      <c r="B18" s="34">
        <f>N(Fin_Inputs_Entity8!F9)</f>
        <v>0</v>
      </c>
      <c r="C18" s="34"/>
      <c r="D18" s="35" t="str">
        <f t="shared" si="0"/>
        <v/>
      </c>
      <c r="E18" s="34">
        <f>N(Fin_Inputs_Entity8!F11)</f>
        <v>0</v>
      </c>
      <c r="F18" s="34">
        <f>N(Fin_Inputs_Entity8!F12)</f>
        <v>0</v>
      </c>
      <c r="G18" s="35" t="str">
        <f t="shared" si="1"/>
        <v/>
      </c>
      <c r="H18" s="34">
        <f>N(Fin_Inputs_Entity8!F36)</f>
        <v>0</v>
      </c>
      <c r="I18" s="34"/>
      <c r="J18" s="35" t="str">
        <f t="shared" si="2"/>
        <v/>
      </c>
      <c r="K18" s="34">
        <f>N(Fin_Inputs_Entity8!F26)+N(Fin_Inputs_Entity8!F27)</f>
        <v>0</v>
      </c>
      <c r="L18" s="35" t="str">
        <f t="shared" si="3"/>
        <v/>
      </c>
      <c r="M18" s="34"/>
      <c r="N18" s="34" t="str">
        <f t="shared" si="4"/>
        <v/>
      </c>
      <c r="O18" s="23" t="str">
        <f>IF(C18="","WARNING: Debt schedule missing","")&amp;IF(COUNT(Fin_Inputs_Entity8!B5:F37)&lt;=2,IF(C18="","; ","")&amp;"WARNING: Only 1-2 years of data","")&amp;IF((N(Fin_Inputs_Entity8!F21)-N(Fin_Inputs_Entity8!F24)-N(Fin_Inputs_Entity8!F25))&lt;0,IF(OR(C18="",COUNT(Fin_Inputs_Entity8!B5:F37)&lt;=2),"; ","")&amp;"WARNING: Negative working capital","")&amp;IF(N(Fin_Inputs_Entity8!F5)&lt;N(Fin_Inputs_Entity8!E5),IF(OR(C18="",COUNT(Fin_Inputs_Entity8!B5:F37)&lt;=2,(N(Fin_Inputs_Entity8!F21)-N(Fin_Inputs_Entity8!F24)-N(Fin_Inputs_Entity8!F25))&lt;0),"; ","")&amp;"WARNING: Declining revenue","")</f>
        <v>WARNING: Debt schedule missing; WARNING: Only 1-2 years of data</v>
      </c>
    </row>
    <row r="19" spans="1:15" x14ac:dyDescent="0.3">
      <c r="A19" s="23" t="s">
        <v>97</v>
      </c>
      <c r="B19" s="34">
        <f>N(Fin_Inputs_Entity9!F9)</f>
        <v>0</v>
      </c>
      <c r="C19" s="34"/>
      <c r="D19" s="35" t="str">
        <f t="shared" si="0"/>
        <v/>
      </c>
      <c r="E19" s="34">
        <f>N(Fin_Inputs_Entity9!F11)</f>
        <v>0</v>
      </c>
      <c r="F19" s="34">
        <f>N(Fin_Inputs_Entity9!F12)</f>
        <v>0</v>
      </c>
      <c r="G19" s="35" t="str">
        <f t="shared" si="1"/>
        <v/>
      </c>
      <c r="H19" s="34">
        <f>N(Fin_Inputs_Entity9!F36)</f>
        <v>0</v>
      </c>
      <c r="I19" s="34"/>
      <c r="J19" s="35" t="str">
        <f t="shared" si="2"/>
        <v/>
      </c>
      <c r="K19" s="34">
        <f>N(Fin_Inputs_Entity9!F26)+N(Fin_Inputs_Entity9!F27)</f>
        <v>0</v>
      </c>
      <c r="L19" s="35" t="str">
        <f t="shared" si="3"/>
        <v/>
      </c>
      <c r="M19" s="34"/>
      <c r="N19" s="34" t="str">
        <f t="shared" si="4"/>
        <v/>
      </c>
      <c r="O19" s="23" t="str">
        <f>IF(C19="","WARNING: Debt schedule missing","")&amp;IF(COUNT(Fin_Inputs_Entity9!B5:F37)&lt;=2,IF(C19="","; ","")&amp;"WARNING: Only 1-2 years of data","")&amp;IF((N(Fin_Inputs_Entity9!F21)-N(Fin_Inputs_Entity9!F24)-N(Fin_Inputs_Entity9!F25))&lt;0,IF(OR(C19="",COUNT(Fin_Inputs_Entity9!B5:F37)&lt;=2),"; ","")&amp;"WARNING: Negative working capital","")&amp;IF(N(Fin_Inputs_Entity9!F5)&lt;N(Fin_Inputs_Entity9!E5),IF(OR(C19="",COUNT(Fin_Inputs_Entity9!B5:F37)&lt;=2,(N(Fin_Inputs_Entity9!F21)-N(Fin_Inputs_Entity9!F24)-N(Fin_Inputs_Entity9!F25))&lt;0),"; ","")&amp;"WARNING: Declining revenue","")</f>
        <v>WARNING: Debt schedule missing; WARNING: Only 1-2 years of data</v>
      </c>
    </row>
    <row r="20" spans="1:15" x14ac:dyDescent="0.3">
      <c r="A20" s="23" t="s">
        <v>14</v>
      </c>
      <c r="B20" s="34">
        <f>N(Fin_Inputs_Entity10!F9)</f>
        <v>0</v>
      </c>
      <c r="C20" s="34"/>
      <c r="D20" s="35" t="str">
        <f t="shared" si="0"/>
        <v/>
      </c>
      <c r="E20" s="34">
        <f>N(Fin_Inputs_Entity10!F11)</f>
        <v>0</v>
      </c>
      <c r="F20" s="34">
        <f>N(Fin_Inputs_Entity10!F12)</f>
        <v>0</v>
      </c>
      <c r="G20" s="35" t="str">
        <f t="shared" si="1"/>
        <v/>
      </c>
      <c r="H20" s="34">
        <f>N(Fin_Inputs_Entity10!F36)</f>
        <v>0</v>
      </c>
      <c r="I20" s="34"/>
      <c r="J20" s="35" t="str">
        <f t="shared" si="2"/>
        <v/>
      </c>
      <c r="K20" s="34">
        <f>N(Fin_Inputs_Entity10!F26)+N(Fin_Inputs_Entity10!F27)</f>
        <v>0</v>
      </c>
      <c r="L20" s="35" t="str">
        <f t="shared" si="3"/>
        <v/>
      </c>
      <c r="M20" s="34"/>
      <c r="N20" s="34" t="str">
        <f t="shared" si="4"/>
        <v/>
      </c>
      <c r="O20" s="23" t="str">
        <f>IF(C20="","WARNING: Debt schedule missing","")&amp;IF(COUNT(Fin_Inputs_Entity10!B5:F37)&lt;=2,IF(C20="","; ","")&amp;"WARNING: Only 1-2 years of data","")&amp;IF((N(Fin_Inputs_Entity10!F21)-N(Fin_Inputs_Entity10!F24)-N(Fin_Inputs_Entity10!F25))&lt;0,IF(OR(C20="",COUNT(Fin_Inputs_Entity10!B5:F37)&lt;=2),"; ","")&amp;"WARNING: Negative working capital","")&amp;IF(N(Fin_Inputs_Entity10!F5)&lt;N(Fin_Inputs_Entity10!E5),IF(OR(C20="",COUNT(Fin_Inputs_Entity10!B5:F37)&lt;=2,(N(Fin_Inputs_Entity10!F21)-N(Fin_Inputs_Entity10!F24)-N(Fin_Inputs_Entity10!F25))&lt;0),"; ","")&amp;"WARNING: Declining revenue","")</f>
        <v>WARNING: Debt schedule missing; WARNING: Only 1-2 years of data</v>
      </c>
    </row>
    <row r="22" spans="1:15" x14ac:dyDescent="0.3">
      <c r="A22" t="s">
        <v>84</v>
      </c>
      <c r="B22" t="s">
        <v>516</v>
      </c>
      <c r="C22" t="s">
        <v>517</v>
      </c>
      <c r="D22" t="s">
        <v>384</v>
      </c>
    </row>
    <row r="23" spans="1:15" x14ac:dyDescent="0.3">
      <c r="A23" t="s">
        <v>74</v>
      </c>
      <c r="B23" s="22"/>
      <c r="C23" s="5" t="str">
        <f>IF(OR(B23="",B23=0,B11=""),"",B11/B23)</f>
        <v/>
      </c>
      <c r="D23" s="5" t="str">
        <f t="shared" ref="D23:D32" si="5">IF(B23="","WARNING: Required_DSCR Missing","")</f>
        <v>WARNING: Required_DSCR Missing</v>
      </c>
    </row>
    <row r="24" spans="1:15" x14ac:dyDescent="0.3">
      <c r="A24" t="s">
        <v>75</v>
      </c>
      <c r="B24" s="22"/>
      <c r="C24" s="5" t="str">
        <f t="shared" ref="C24:C32" si="6">IF(OR(B24="",B24=0,B12=""),"",B12/B24)</f>
        <v/>
      </c>
      <c r="D24" s="5" t="str">
        <f t="shared" si="5"/>
        <v>WARNING: Required_DSCR Missing</v>
      </c>
    </row>
    <row r="25" spans="1:15" x14ac:dyDescent="0.3">
      <c r="A25" t="s">
        <v>76</v>
      </c>
      <c r="B25" s="22"/>
      <c r="C25" s="5" t="str">
        <f t="shared" si="6"/>
        <v/>
      </c>
      <c r="D25" s="5" t="str">
        <f t="shared" si="5"/>
        <v>WARNING: Required_DSCR Missing</v>
      </c>
    </row>
    <row r="26" spans="1:15" x14ac:dyDescent="0.3">
      <c r="A26" t="s">
        <v>77</v>
      </c>
      <c r="B26" s="22"/>
      <c r="C26" s="5" t="str">
        <f t="shared" si="6"/>
        <v/>
      </c>
      <c r="D26" s="5" t="str">
        <f t="shared" si="5"/>
        <v>WARNING: Required_DSCR Missing</v>
      </c>
    </row>
    <row r="27" spans="1:15" x14ac:dyDescent="0.3">
      <c r="A27" t="s">
        <v>78</v>
      </c>
      <c r="B27" s="22"/>
      <c r="C27" s="5" t="str">
        <f t="shared" si="6"/>
        <v/>
      </c>
      <c r="D27" s="5" t="str">
        <f t="shared" si="5"/>
        <v>WARNING: Required_DSCR Missing</v>
      </c>
    </row>
    <row r="28" spans="1:15" x14ac:dyDescent="0.3">
      <c r="A28" t="s">
        <v>79</v>
      </c>
      <c r="B28" s="22"/>
      <c r="C28" s="5" t="str">
        <f t="shared" si="6"/>
        <v/>
      </c>
      <c r="D28" s="5" t="str">
        <f t="shared" si="5"/>
        <v>WARNING: Required_DSCR Missing</v>
      </c>
    </row>
    <row r="29" spans="1:15" x14ac:dyDescent="0.3">
      <c r="A29" t="s">
        <v>80</v>
      </c>
      <c r="B29" s="22"/>
      <c r="C29" s="5" t="str">
        <f t="shared" si="6"/>
        <v/>
      </c>
      <c r="D29" s="5" t="str">
        <f t="shared" si="5"/>
        <v>WARNING: Required_DSCR Missing</v>
      </c>
    </row>
    <row r="30" spans="1:15" x14ac:dyDescent="0.3">
      <c r="A30" t="s">
        <v>81</v>
      </c>
      <c r="B30" s="22"/>
      <c r="C30" s="5" t="str">
        <f t="shared" si="6"/>
        <v/>
      </c>
      <c r="D30" s="5" t="str">
        <f t="shared" si="5"/>
        <v>WARNING: Required_DSCR Missing</v>
      </c>
    </row>
    <row r="31" spans="1:15" x14ac:dyDescent="0.3">
      <c r="A31" t="s">
        <v>97</v>
      </c>
      <c r="B31" s="22"/>
      <c r="C31" s="5" t="str">
        <f t="shared" si="6"/>
        <v/>
      </c>
      <c r="D31" s="5" t="str">
        <f t="shared" si="5"/>
        <v>WARNING: Required_DSCR Missing</v>
      </c>
    </row>
    <row r="32" spans="1:15" x14ac:dyDescent="0.3">
      <c r="A32" t="s">
        <v>14</v>
      </c>
      <c r="B32" s="22"/>
      <c r="C32" s="5" t="str">
        <f t="shared" si="6"/>
        <v/>
      </c>
      <c r="D32" s="5" t="str">
        <f t="shared" si="5"/>
        <v>WARNING: Required_DSCR Missing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B1D7-FBF1-4FEF-92EE-225AE8D53CAA}">
  <dimension ref="A1:E15"/>
  <sheetViews>
    <sheetView workbookViewId="0"/>
  </sheetViews>
  <sheetFormatPr defaultRowHeight="14.4" x14ac:dyDescent="0.3"/>
  <cols>
    <col min="1" max="1" width="22.88671875" bestFit="1" customWidth="1"/>
    <col min="2" max="2" width="6.6640625" bestFit="1" customWidth="1"/>
    <col min="3" max="3" width="5.6640625" bestFit="1" customWidth="1"/>
    <col min="4" max="4" width="14.109375" bestFit="1" customWidth="1"/>
  </cols>
  <sheetData>
    <row r="1" spans="1:5" x14ac:dyDescent="0.3">
      <c r="A1" s="31" t="s">
        <v>518</v>
      </c>
      <c r="B1" s="31"/>
      <c r="C1" s="31"/>
      <c r="D1" s="31"/>
      <c r="E1" s="21"/>
    </row>
    <row r="2" spans="1:5" x14ac:dyDescent="0.3">
      <c r="A2" s="23"/>
      <c r="B2" s="23"/>
      <c r="C2" s="23"/>
      <c r="D2" s="23"/>
    </row>
    <row r="3" spans="1:5" x14ac:dyDescent="0.3">
      <c r="A3" s="28" t="s">
        <v>519</v>
      </c>
      <c r="B3" s="28" t="s">
        <v>228</v>
      </c>
      <c r="C3" s="28" t="s">
        <v>520</v>
      </c>
      <c r="D3" s="28" t="s">
        <v>521</v>
      </c>
    </row>
    <row r="4" spans="1:5" x14ac:dyDescent="0.3">
      <c r="A4" s="23" t="s">
        <v>522</v>
      </c>
      <c r="B4" s="23">
        <v>0.2</v>
      </c>
      <c r="C4" s="29"/>
      <c r="D4" s="23" t="str">
        <f t="shared" ref="D4:D9" si="0">IF(C4="","",B4*C4)</f>
        <v/>
      </c>
    </row>
    <row r="5" spans="1:5" x14ac:dyDescent="0.3">
      <c r="A5" s="23" t="s">
        <v>523</v>
      </c>
      <c r="B5" s="23">
        <v>0.15</v>
      </c>
      <c r="C5" s="29"/>
      <c r="D5" s="23" t="str">
        <f t="shared" si="0"/>
        <v/>
      </c>
    </row>
    <row r="6" spans="1:5" x14ac:dyDescent="0.3">
      <c r="A6" s="23" t="s">
        <v>524</v>
      </c>
      <c r="B6" s="23">
        <v>0.15</v>
      </c>
      <c r="C6" s="29"/>
      <c r="D6" s="23" t="str">
        <f t="shared" si="0"/>
        <v/>
      </c>
    </row>
    <row r="7" spans="1:5" x14ac:dyDescent="0.3">
      <c r="A7" s="23" t="s">
        <v>525</v>
      </c>
      <c r="B7" s="23">
        <v>0.15</v>
      </c>
      <c r="C7" s="29"/>
      <c r="D7" s="23" t="str">
        <f t="shared" si="0"/>
        <v/>
      </c>
    </row>
    <row r="8" spans="1:5" x14ac:dyDescent="0.3">
      <c r="A8" s="23" t="s">
        <v>526</v>
      </c>
      <c r="B8" s="23">
        <v>0.15</v>
      </c>
      <c r="C8" s="29"/>
      <c r="D8" s="23" t="str">
        <f t="shared" si="0"/>
        <v/>
      </c>
    </row>
    <row r="9" spans="1:5" x14ac:dyDescent="0.3">
      <c r="A9" s="23" t="s">
        <v>527</v>
      </c>
      <c r="B9" s="23">
        <v>0.2</v>
      </c>
      <c r="C9" s="29"/>
      <c r="D9" s="23" t="str">
        <f t="shared" si="0"/>
        <v/>
      </c>
    </row>
    <row r="10" spans="1:5" x14ac:dyDescent="0.3">
      <c r="A10" s="23"/>
      <c r="B10" s="23"/>
      <c r="C10" s="23"/>
      <c r="D10" s="23"/>
    </row>
    <row r="11" spans="1:5" x14ac:dyDescent="0.3">
      <c r="A11" s="23" t="s">
        <v>528</v>
      </c>
      <c r="B11" s="23">
        <f>SUM(D4:D9)</f>
        <v>0</v>
      </c>
      <c r="C11" s="23"/>
      <c r="D11" s="23"/>
    </row>
    <row r="12" spans="1:5" x14ac:dyDescent="0.3">
      <c r="A12" s="23"/>
      <c r="B12" s="23"/>
      <c r="C12" s="23"/>
      <c r="D12" s="23"/>
    </row>
    <row r="13" spans="1:5" x14ac:dyDescent="0.3">
      <c r="A13" s="23" t="s">
        <v>529</v>
      </c>
      <c r="B13" s="29"/>
      <c r="C13" s="23"/>
      <c r="D13" s="23"/>
    </row>
    <row r="14" spans="1:5" x14ac:dyDescent="0.3">
      <c r="A14" s="23" t="s">
        <v>530</v>
      </c>
      <c r="B14" s="29"/>
      <c r="C14" s="23"/>
      <c r="D14" s="23"/>
    </row>
    <row r="15" spans="1:5" x14ac:dyDescent="0.3">
      <c r="A15" s="23" t="s">
        <v>531</v>
      </c>
      <c r="B15" s="29"/>
      <c r="C15" s="23"/>
      <c r="D15" s="2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865A-FDDE-475F-89E6-0BC5E86B50FD}">
  <dimension ref="A1:E13"/>
  <sheetViews>
    <sheetView workbookViewId="0"/>
  </sheetViews>
  <sheetFormatPr defaultRowHeight="14.4" x14ac:dyDescent="0.3"/>
  <cols>
    <col min="1" max="1" width="20.6640625" bestFit="1" customWidth="1"/>
    <col min="2" max="2" width="9.109375" bestFit="1" customWidth="1"/>
    <col min="3" max="3" width="9.44140625" bestFit="1" customWidth="1"/>
    <col min="4" max="4" width="10.33203125" bestFit="1" customWidth="1"/>
  </cols>
  <sheetData>
    <row r="1" spans="1:5" x14ac:dyDescent="0.3">
      <c r="A1" s="40" t="s">
        <v>532</v>
      </c>
      <c r="B1" s="40"/>
      <c r="C1" s="40"/>
      <c r="D1" s="40"/>
      <c r="E1" s="21"/>
    </row>
    <row r="2" spans="1:5" x14ac:dyDescent="0.3">
      <c r="A2" s="38" t="s">
        <v>533</v>
      </c>
      <c r="B2" s="39"/>
      <c r="C2" s="38"/>
      <c r="D2" s="38"/>
      <c r="E2" s="5" t="s">
        <v>534</v>
      </c>
    </row>
    <row r="3" spans="1:5" x14ac:dyDescent="0.3">
      <c r="A3" s="37" t="s">
        <v>535</v>
      </c>
      <c r="B3" s="77" t="s">
        <v>66</v>
      </c>
      <c r="C3" s="77" t="s">
        <v>67</v>
      </c>
      <c r="D3" s="77" t="s">
        <v>68</v>
      </c>
      <c r="E3" s="5" t="str">
        <f>"Selected Value"</f>
        <v>Selected Value</v>
      </c>
    </row>
    <row r="4" spans="1:5" x14ac:dyDescent="0.3">
      <c r="A4" s="38" t="s">
        <v>536</v>
      </c>
      <c r="B4" s="41">
        <v>0.1</v>
      </c>
      <c r="C4" s="41">
        <v>0.05</v>
      </c>
      <c r="D4" s="41">
        <v>-0.05</v>
      </c>
      <c r="E4" s="5" t="str">
        <f>IF($B$2="","",INDEX($B$4:$D$4,1,MATCH($B$2,$B$10:$D$10,0)))</f>
        <v/>
      </c>
    </row>
    <row r="5" spans="1:5" x14ac:dyDescent="0.3">
      <c r="A5" s="38" t="s">
        <v>537</v>
      </c>
      <c r="B5" s="41">
        <v>0.05</v>
      </c>
      <c r="C5" s="41">
        <v>0</v>
      </c>
      <c r="D5" s="41">
        <v>-0.05</v>
      </c>
      <c r="E5" s="5" t="str">
        <f>IF($B$2="","",INDEX($B$5:$D$5,1,MATCH($B$2,$B$10:$D$10,0)))</f>
        <v/>
      </c>
    </row>
    <row r="6" spans="1:5" x14ac:dyDescent="0.3">
      <c r="A6" s="38" t="s">
        <v>538</v>
      </c>
      <c r="B6" s="41">
        <v>0.02</v>
      </c>
      <c r="C6" s="41">
        <v>0</v>
      </c>
      <c r="D6" s="41">
        <v>0.03</v>
      </c>
      <c r="E6" s="5" t="str">
        <f>IF($B$2="","",INDEX($B$6:$D$6,1,MATCH($B$2,$B$10:$D$10,0)))</f>
        <v/>
      </c>
    </row>
    <row r="7" spans="1:5" x14ac:dyDescent="0.3">
      <c r="A7" s="38" t="s">
        <v>539</v>
      </c>
      <c r="B7" s="41">
        <v>0.01</v>
      </c>
      <c r="C7" s="41">
        <v>0</v>
      </c>
      <c r="D7" s="41">
        <v>0.02</v>
      </c>
      <c r="E7" s="5" t="str">
        <f>IF($B$2="","",INDEX($B$7:$D$7,1,MATCH($B$2,$B$10:$D$10,0)))</f>
        <v/>
      </c>
    </row>
    <row r="8" spans="1:5" x14ac:dyDescent="0.3">
      <c r="A8" s="38" t="s">
        <v>540</v>
      </c>
      <c r="B8" s="41">
        <v>0.01</v>
      </c>
      <c r="C8" s="41">
        <v>0</v>
      </c>
      <c r="D8" s="41">
        <v>0.03</v>
      </c>
      <c r="E8" t="str">
        <f>IF($B$2="","",INDEX($B$8:$D$8,1,MATCH($B$2,$B$10:$D$10,0)))</f>
        <v/>
      </c>
    </row>
    <row r="9" spans="1:5" x14ac:dyDescent="0.3">
      <c r="A9" s="38"/>
      <c r="B9" s="38"/>
      <c r="C9" s="38"/>
      <c r="D9" s="38"/>
    </row>
    <row r="10" spans="1:5" x14ac:dyDescent="0.3">
      <c r="A10" s="37" t="s">
        <v>541</v>
      </c>
      <c r="B10" s="37" t="s">
        <v>66</v>
      </c>
      <c r="C10" s="37" t="s">
        <v>67</v>
      </c>
      <c r="D10" s="37" t="s">
        <v>68</v>
      </c>
    </row>
    <row r="11" spans="1:5" x14ac:dyDescent="0.3">
      <c r="A11" s="38" t="s">
        <v>237</v>
      </c>
      <c r="B11" s="38">
        <f>Consolidation!L4*(1+B4)</f>
        <v>0</v>
      </c>
      <c r="C11" s="38">
        <f>Consolidation!L4*(1+C4)</f>
        <v>0</v>
      </c>
      <c r="D11" s="38">
        <f>Consolidation!L4*(1+D4)</f>
        <v>0</v>
      </c>
    </row>
    <row r="12" spans="1:5" x14ac:dyDescent="0.3">
      <c r="A12" s="38" t="s">
        <v>542</v>
      </c>
      <c r="B12" s="38">
        <f>Consolidation!L5*(1+B5-B6)</f>
        <v>0</v>
      </c>
      <c r="C12" s="38">
        <f>Consolidation!L5*(1+C5-C6)</f>
        <v>0</v>
      </c>
      <c r="D12" s="38">
        <f>Consolidation!L5*(1+D5-D6)</f>
        <v>0</v>
      </c>
    </row>
    <row r="13" spans="1:5" x14ac:dyDescent="0.3">
      <c r="A13" s="38" t="s">
        <v>543</v>
      </c>
      <c r="B13" s="38">
        <f>Consolidation!L6*(1+B4-B7)</f>
        <v>0</v>
      </c>
      <c r="C13" s="38">
        <f>Consolidation!L6*(1+C4-C7)</f>
        <v>0</v>
      </c>
      <c r="D13" s="38">
        <f>Consolidation!L6*(1+D4-D7)</f>
        <v>0</v>
      </c>
    </row>
  </sheetData>
  <dataValidations count="1">
    <dataValidation type="list" allowBlank="1" showInputMessage="1" showErrorMessage="1" errorTitle="Invalid value" error="Please use the dropdown list or leave the cell blank." promptTitle="Select from list" prompt="Choose a value from the dropdown or leave blank for AI ingestion." sqref="B2" xr:uid="{5B8BF846-BA71-439D-9503-797F8EC7C922}">
      <formula1>NR_List_Scenario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2CFD-F8F2-47C0-A160-1936B0623A58}">
  <dimension ref="A1:C9"/>
  <sheetViews>
    <sheetView workbookViewId="0"/>
  </sheetViews>
  <sheetFormatPr defaultRowHeight="14.4" x14ac:dyDescent="0.3"/>
  <cols>
    <col min="1" max="1" width="24.109375" bestFit="1" customWidth="1"/>
    <col min="2" max="2" width="31.6640625" bestFit="1" customWidth="1"/>
    <col min="3" max="3" width="20" bestFit="1" customWidth="1"/>
  </cols>
  <sheetData>
    <row r="1" spans="1:3" x14ac:dyDescent="0.3">
      <c r="A1" s="31" t="s">
        <v>544</v>
      </c>
      <c r="B1" s="31"/>
      <c r="C1" s="31"/>
    </row>
    <row r="2" spans="1:3" x14ac:dyDescent="0.3">
      <c r="A2" s="23"/>
      <c r="B2" s="23"/>
      <c r="C2" s="23"/>
    </row>
    <row r="3" spans="1:3" x14ac:dyDescent="0.3">
      <c r="A3" s="28" t="s">
        <v>545</v>
      </c>
      <c r="B3" s="28" t="s">
        <v>546</v>
      </c>
      <c r="C3" s="28" t="s">
        <v>547</v>
      </c>
    </row>
    <row r="4" spans="1:3" x14ac:dyDescent="0.3">
      <c r="A4" s="23" t="s">
        <v>548</v>
      </c>
      <c r="B4" s="23" t="s">
        <v>549</v>
      </c>
      <c r="C4" s="23" t="str">
        <f>IF(COUNTIF(Document_Intake_Checklist!B4:B15,"Ownership / Cap Table")=0,"WARNING: Missing ownership document","")</f>
        <v/>
      </c>
    </row>
    <row r="5" spans="1:3" x14ac:dyDescent="0.3">
      <c r="A5" s="23" t="s">
        <v>550</v>
      </c>
      <c r="B5" s="29"/>
      <c r="C5" s="23"/>
    </row>
    <row r="6" spans="1:3" x14ac:dyDescent="0.3">
      <c r="A6" s="23" t="s">
        <v>551</v>
      </c>
      <c r="B6" s="29" t="s">
        <v>552</v>
      </c>
      <c r="C6" s="23"/>
    </row>
    <row r="7" spans="1:3" x14ac:dyDescent="0.3">
      <c r="A7" s="23" t="s">
        <v>553</v>
      </c>
      <c r="B7" s="29" t="s">
        <v>554</v>
      </c>
      <c r="C7" s="23" t="str">
        <f>IF(COUNTIF(Document_Intake_Checklist!B4:B15,"Debt Schedule")=0,"WARNING: Missing debt schedule","Check document status")</f>
        <v>Check document status</v>
      </c>
    </row>
    <row r="8" spans="1:3" x14ac:dyDescent="0.3">
      <c r="A8" s="23" t="s">
        <v>555</v>
      </c>
      <c r="B8" s="29"/>
      <c r="C8" s="23"/>
    </row>
    <row r="9" spans="1:3" x14ac:dyDescent="0.3">
      <c r="A9" s="23" t="s">
        <v>556</v>
      </c>
      <c r="B9" s="29"/>
      <c r="C9" s="2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7786-7A3E-445F-A107-A212F42A8B34}">
  <dimension ref="A1:C8"/>
  <sheetViews>
    <sheetView workbookViewId="0"/>
  </sheetViews>
  <sheetFormatPr defaultRowHeight="14.4" x14ac:dyDescent="0.3"/>
  <cols>
    <col min="1" max="1" width="24.33203125" bestFit="1" customWidth="1"/>
    <col min="2" max="2" width="7.109375" bestFit="1" customWidth="1"/>
    <col min="3" max="3" width="56.5546875" bestFit="1" customWidth="1"/>
  </cols>
  <sheetData>
    <row r="1" spans="1:3" x14ac:dyDescent="0.3">
      <c r="A1" s="31" t="s">
        <v>557</v>
      </c>
      <c r="B1" s="31"/>
      <c r="C1" s="31"/>
    </row>
    <row r="2" spans="1:3" x14ac:dyDescent="0.3">
      <c r="A2" s="23"/>
      <c r="B2" s="23"/>
      <c r="C2" s="23"/>
    </row>
    <row r="3" spans="1:3" x14ac:dyDescent="0.3">
      <c r="A3" s="28" t="s">
        <v>558</v>
      </c>
      <c r="B3" s="28" t="s">
        <v>91</v>
      </c>
      <c r="C3" s="28" t="s">
        <v>559</v>
      </c>
    </row>
    <row r="4" spans="1:3" x14ac:dyDescent="0.3">
      <c r="A4" s="23" t="s">
        <v>161</v>
      </c>
      <c r="B4" s="23">
        <f>IF(Adjustments!B21="",Consolidation!L5,Adjustments!B21)</f>
        <v>0</v>
      </c>
      <c r="C4" s="23"/>
    </row>
    <row r="5" spans="1:3" x14ac:dyDescent="0.3">
      <c r="A5" s="23" t="s">
        <v>560</v>
      </c>
      <c r="B5" s="29"/>
      <c r="C5" s="23" t="s">
        <v>561</v>
      </c>
    </row>
    <row r="6" spans="1:3" x14ac:dyDescent="0.3">
      <c r="A6" s="23" t="s">
        <v>562</v>
      </c>
      <c r="B6" s="29"/>
      <c r="C6" s="23" t="s">
        <v>563</v>
      </c>
    </row>
    <row r="7" spans="1:3" x14ac:dyDescent="0.3">
      <c r="A7" s="23" t="s">
        <v>564</v>
      </c>
      <c r="B7" s="29"/>
      <c r="C7" s="23" t="s">
        <v>565</v>
      </c>
    </row>
    <row r="8" spans="1:3" x14ac:dyDescent="0.3">
      <c r="A8" s="23" t="s">
        <v>566</v>
      </c>
      <c r="B8" s="23">
        <f>IF(B4="","",IF(Document_Intake_Checklist!B18="Complete",80,60))</f>
        <v>60</v>
      </c>
      <c r="C8" s="23" t="str">
        <f>IF(Document_Intake_Checklist!B18="WARNING: Missing Financial Documents","WARNING: Missing supporting documents may reduce exit readiness","")</f>
        <v>WARNING: Missing supporting documents may reduce exit readiness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614E-0131-421F-9B2B-9EEE9EF66530}">
  <dimension ref="A1:C12"/>
  <sheetViews>
    <sheetView workbookViewId="0"/>
  </sheetViews>
  <sheetFormatPr defaultRowHeight="14.4" x14ac:dyDescent="0.3"/>
  <cols>
    <col min="1" max="1" width="29.6640625" bestFit="1" customWidth="1"/>
    <col min="2" max="2" width="8" bestFit="1" customWidth="1"/>
    <col min="3" max="3" width="35.6640625" bestFit="1" customWidth="1"/>
  </cols>
  <sheetData>
    <row r="1" spans="1:3" x14ac:dyDescent="0.3">
      <c r="A1" s="31" t="s">
        <v>567</v>
      </c>
      <c r="B1" s="31"/>
      <c r="C1" s="31"/>
    </row>
    <row r="2" spans="1:3" x14ac:dyDescent="0.3">
      <c r="A2" s="23"/>
      <c r="B2" s="23"/>
      <c r="C2" s="23"/>
    </row>
    <row r="3" spans="1:3" x14ac:dyDescent="0.3">
      <c r="A3" s="28" t="s">
        <v>568</v>
      </c>
      <c r="B3" s="28" t="s">
        <v>91</v>
      </c>
      <c r="C3" s="28" t="s">
        <v>90</v>
      </c>
    </row>
    <row r="4" spans="1:3" x14ac:dyDescent="0.3">
      <c r="A4" s="23" t="s">
        <v>113</v>
      </c>
      <c r="B4" s="23">
        <f>Consolidation!L4</f>
        <v>0</v>
      </c>
      <c r="C4" s="23"/>
    </row>
    <row r="5" spans="1:3" x14ac:dyDescent="0.3">
      <c r="A5" s="23" t="s">
        <v>114</v>
      </c>
      <c r="B5" s="23">
        <f>SUM(N(Fin_Inputs_Entity1!F6)*IF(FX_Rate_Entity1="",1,FX_Rate_Entity1)*IF(Entity_Ownership!C4="",1,Entity_Ownership!C4),N(Fin_Inputs_Entity2!F6)*IF(FX_Rate_Entity2="",1,FX_Rate_Entity2)*IF(Entity_Ownership!C5="",1,Entity_Ownership!C5),N(Fin_Inputs_Entity3!F6)*IF(FX_Rate_Entity3="",1,FX_Rate_Entity3)*IF(Entity_Ownership!C6="",1,Entity_Ownership!C6),N(Fin_Inputs_Entity4!F6)*IF(FX_Rate_Entity4="",1,FX_Rate_Entity4)*IF(Entity_Ownership!C7="",1,Entity_Ownership!C7),N(Fin_Inputs_Entity5!F6)*IF(FX_Rate_Entity5="",1,FX_Rate_Entity5)*IF(Entity_Ownership!C8="",1,Entity_Ownership!C8),N(Fin_Inputs_Entity6!F6)*IF(FX_Rate_Entity6="",1,FX_Rate_Entity6)*IF(Entity_Ownership!C9="",1,Entity_Ownership!C9),N(Fin_Inputs_Entity7!F6)*IF(FX_Rate_Entity7="",1,FX_Rate_Entity7)*IF(Entity_Ownership!C10="",1,Entity_Ownership!C10),N(Fin_Inputs_Entity8!F6)*IF(FX_Rate_Entity8="",1,FX_Rate_Entity8)*IF(Entity_Ownership!C11="",1,Entity_Ownership!C11),N(Fin_Inputs_Entity9!F6)*IF(FX_Rate_Entity9="",1,FX_Rate_Entity9)*IF(Entity_Ownership!C12="",1,Entity_Ownership!C12),N(Fin_Inputs_Entity10!F6)*IF(FX_Rate_Entity10="",1,FX_Rate_Entity10)*IF(Entity_Ownership!C13="",1,Entity_Ownership!C13))</f>
        <v>0</v>
      </c>
      <c r="C5" s="23"/>
    </row>
    <row r="6" spans="1:3" x14ac:dyDescent="0.3">
      <c r="A6" s="23" t="s">
        <v>124</v>
      </c>
      <c r="B6" s="23">
        <f>SUM(N(Fin_Inputs_Entity1!F19)*IF(FX_Rate_Entity1="",1,FX_Rate_Entity1)*IF(Entity_Ownership!C4="",1,Entity_Ownership!C4),N(Fin_Inputs_Entity2!F19)*IF(FX_Rate_Entity2="",1,FX_Rate_Entity2)*IF(Entity_Ownership!C5="",1,Entity_Ownership!C5),N(Fin_Inputs_Entity3!F19)*IF(FX_Rate_Entity3="",1,FX_Rate_Entity3)*IF(Entity_Ownership!C6="",1,Entity_Ownership!C6),N(Fin_Inputs_Entity4!F19)*IF(FX_Rate_Entity4="",1,FX_Rate_Entity4)*IF(Entity_Ownership!C7="",1,Entity_Ownership!C7),N(Fin_Inputs_Entity5!F19)*IF(FX_Rate_Entity5="",1,FX_Rate_Entity5)*IF(Entity_Ownership!C8="",1,Entity_Ownership!C8),N(Fin_Inputs_Entity6!F19)*IF(FX_Rate_Entity6="",1,FX_Rate_Entity6)*IF(Entity_Ownership!C9="",1,Entity_Ownership!C9),N(Fin_Inputs_Entity7!F19)*IF(FX_Rate_Entity7="",1,FX_Rate_Entity7)*IF(Entity_Ownership!C10="",1,Entity_Ownership!C10),N(Fin_Inputs_Entity8!F19)*IF(FX_Rate_Entity8="",1,FX_Rate_Entity8)*IF(Entity_Ownership!C11="",1,Entity_Ownership!C11),N(Fin_Inputs_Entity9!F19)*IF(FX_Rate_Entity9="",1,FX_Rate_Entity9)*IF(Entity_Ownership!C12="",1,Entity_Ownership!C12),N(Fin_Inputs_Entity10!F19)*IF(FX_Rate_Entity10="",1,FX_Rate_Entity10)*IF(Entity_Ownership!C13="",1,Entity_Ownership!C13))</f>
        <v>0</v>
      </c>
      <c r="C6" s="23"/>
    </row>
    <row r="7" spans="1:3" x14ac:dyDescent="0.3">
      <c r="A7" s="23" t="s">
        <v>129</v>
      </c>
      <c r="B7" s="23">
        <f>SUM(N(Fin_Inputs_Entity1!F24)*IF(FX_Rate_Entity1="",1,FX_Rate_Entity1)*IF(Entity_Ownership!C4="",1,Entity_Ownership!C4),N(Fin_Inputs_Entity2!F24)*IF(FX_Rate_Entity2="",1,FX_Rate_Entity2)*IF(Entity_Ownership!C5="",1,Entity_Ownership!C5),N(Fin_Inputs_Entity3!F24)*IF(FX_Rate_Entity3="",1,FX_Rate_Entity3)*IF(Entity_Ownership!C6="",1,Entity_Ownership!C6),N(Fin_Inputs_Entity4!F24)*IF(FX_Rate_Entity4="",1,FX_Rate_Entity4)*IF(Entity_Ownership!C7="",1,Entity_Ownership!C7),N(Fin_Inputs_Entity5!F24)*IF(FX_Rate_Entity5="",1,FX_Rate_Entity5)*IF(Entity_Ownership!C8="",1,Entity_Ownership!C8),N(Fin_Inputs_Entity6!F24)*IF(FX_Rate_Entity6="",1,FX_Rate_Entity6)*IF(Entity_Ownership!C9="",1,Entity_Ownership!C9),N(Fin_Inputs_Entity7!F24)*IF(FX_Rate_Entity7="",1,FX_Rate_Entity7)*IF(Entity_Ownership!C10="",1,Entity_Ownership!C10),N(Fin_Inputs_Entity8!F24)*IF(FX_Rate_Entity8="",1,FX_Rate_Entity8)*IF(Entity_Ownership!C11="",1,Entity_Ownership!C11),N(Fin_Inputs_Entity9!F24)*IF(FX_Rate_Entity9="",1,FX_Rate_Entity9)*IF(Entity_Ownership!C12="",1,Entity_Ownership!C12),N(Fin_Inputs_Entity10!F24)*IF(FX_Rate_Entity10="",1,FX_Rate_Entity10)*IF(Entity_Ownership!C13="",1,Entity_Ownership!C13))</f>
        <v>0</v>
      </c>
      <c r="C7" s="23"/>
    </row>
    <row r="8" spans="1:3" x14ac:dyDescent="0.3">
      <c r="A8" s="23" t="s">
        <v>125</v>
      </c>
      <c r="B8" s="23">
        <f>SUM(N(Fin_Inputs_Entity1!F20)*IF(FX_Rate_Entity1="",1,FX_Rate_Entity1)*IF(Entity_Ownership!C4="",1,Entity_Ownership!C4),N(Fin_Inputs_Entity2!F20)*IF(FX_Rate_Entity2="",1,FX_Rate_Entity2)*IF(Entity_Ownership!C5="",1,Entity_Ownership!C5),N(Fin_Inputs_Entity3!F20)*IF(FX_Rate_Entity3="",1,FX_Rate_Entity3)*IF(Entity_Ownership!C6="",1,Entity_Ownership!C6),N(Fin_Inputs_Entity4!F20)*IF(FX_Rate_Entity4="",1,FX_Rate_Entity4)*IF(Entity_Ownership!C7="",1,Entity_Ownership!C7),N(Fin_Inputs_Entity5!F20)*IF(FX_Rate_Entity5="",1,FX_Rate_Entity5)*IF(Entity_Ownership!C8="",1,Entity_Ownership!C8),N(Fin_Inputs_Entity6!F20)*IF(FX_Rate_Entity6="",1,FX_Rate_Entity6)*IF(Entity_Ownership!C9="",1,Entity_Ownership!C9),N(Fin_Inputs_Entity7!F20)*IF(FX_Rate_Entity7="",1,FX_Rate_Entity7)*IF(Entity_Ownership!C10="",1,Entity_Ownership!C10),N(Fin_Inputs_Entity8!F20)*IF(FX_Rate_Entity8="",1,FX_Rate_Entity8)*IF(Entity_Ownership!C11="",1,Entity_Ownership!C11),N(Fin_Inputs_Entity9!F20)*IF(FX_Rate_Entity9="",1,FX_Rate_Entity9)*IF(Entity_Ownership!C12="",1,Entity_Ownership!C12),N(Fin_Inputs_Entity10!F20)*IF(FX_Rate_Entity10="",1,FX_Rate_Entity10)*IF(Entity_Ownership!C13="",1,Entity_Ownership!C13))</f>
        <v>0</v>
      </c>
      <c r="C8" s="23"/>
    </row>
    <row r="9" spans="1:3" x14ac:dyDescent="0.3">
      <c r="A9" s="23" t="s">
        <v>569</v>
      </c>
      <c r="B9" s="23">
        <f>IF(OR(B4="",B4=0,B6=""),0,B6/(B4/365))</f>
        <v>0</v>
      </c>
      <c r="C9" s="23" t="s">
        <v>570</v>
      </c>
    </row>
    <row r="10" spans="1:3" x14ac:dyDescent="0.3">
      <c r="A10" s="23" t="s">
        <v>571</v>
      </c>
      <c r="B10" s="23">
        <f>IF(OR(B5="",B5=0,B7=""),0,B7/(B5/365))</f>
        <v>0</v>
      </c>
      <c r="C10" s="23" t="s">
        <v>572</v>
      </c>
    </row>
    <row r="11" spans="1:3" x14ac:dyDescent="0.3">
      <c r="A11" s="23" t="s">
        <v>573</v>
      </c>
      <c r="B11" s="23">
        <f>IF(OR(B5="",B5=0,B8=""),0,B8/(B5/365))</f>
        <v>0</v>
      </c>
      <c r="C11" s="23" t="s">
        <v>574</v>
      </c>
    </row>
    <row r="12" spans="1:3" x14ac:dyDescent="0.3">
      <c r="A12" s="23" t="s">
        <v>575</v>
      </c>
      <c r="B12" s="23">
        <f>IFERROR(B9 + B11 - B10, "")</f>
        <v>0</v>
      </c>
      <c r="C12" s="23" t="s">
        <v>576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AE2D-636A-4F94-81BE-EFA60A4C249E}">
  <dimension ref="A1:C10"/>
  <sheetViews>
    <sheetView workbookViewId="0"/>
  </sheetViews>
  <sheetFormatPr defaultRowHeight="14.4" x14ac:dyDescent="0.3"/>
  <cols>
    <col min="1" max="1" width="19.5546875" bestFit="1" customWidth="1"/>
    <col min="2" max="2" width="18.109375" bestFit="1" customWidth="1"/>
    <col min="3" max="3" width="5.88671875" bestFit="1" customWidth="1"/>
  </cols>
  <sheetData>
    <row r="1" spans="1:3" x14ac:dyDescent="0.3">
      <c r="A1" s="31" t="s">
        <v>577</v>
      </c>
      <c r="B1" s="31"/>
      <c r="C1" s="31"/>
    </row>
    <row r="2" spans="1:3" x14ac:dyDescent="0.3">
      <c r="A2" s="23"/>
      <c r="B2" s="23"/>
      <c r="C2" s="23"/>
    </row>
    <row r="3" spans="1:3" x14ac:dyDescent="0.3">
      <c r="A3" s="28" t="s">
        <v>545</v>
      </c>
      <c r="B3" s="28" t="s">
        <v>91</v>
      </c>
      <c r="C3" s="28" t="s">
        <v>90</v>
      </c>
    </row>
    <row r="4" spans="1:3" x14ac:dyDescent="0.3">
      <c r="A4" s="23" t="s">
        <v>229</v>
      </c>
      <c r="B4" s="23">
        <f>SUM(Valuation_Entity1!B34,Valuation_Entity2!B34,Valuation_Entity3!B34,Valuation_Entity4!B34,Valuation_Entity5!B34,Valuation_Entity6!B34,Valuation_Entity7!B34,Valuation_Entity8!B34,Valuation_Entity9!B34,Valuation_Entity10!B34)</f>
        <v>0</v>
      </c>
      <c r="C4" s="23"/>
    </row>
    <row r="5" spans="1:3" x14ac:dyDescent="0.3">
      <c r="A5" s="23" t="s">
        <v>578</v>
      </c>
      <c r="B5" s="23">
        <f>SUM(Valuation_Entity1!B35,Valuation_Entity2!B35,Valuation_Entity3!B35,Valuation_Entity4!B35,Valuation_Entity5!B35,Valuation_Entity6!B35,Valuation_Entity7!B35,Valuation_Entity8!B35,Valuation_Entity9!B35,Valuation_Entity10!B35)</f>
        <v>0</v>
      </c>
      <c r="C5" s="23"/>
    </row>
    <row r="6" spans="1:3" x14ac:dyDescent="0.3">
      <c r="A6" s="23" t="s">
        <v>231</v>
      </c>
      <c r="B6" s="23">
        <f>Consolidation!L9</f>
        <v>0</v>
      </c>
      <c r="C6" s="23"/>
    </row>
    <row r="7" spans="1:3" x14ac:dyDescent="0.3">
      <c r="A7" s="23" t="s">
        <v>579</v>
      </c>
      <c r="B7" s="23" t="s">
        <v>580</v>
      </c>
      <c r="C7" s="23"/>
    </row>
    <row r="8" spans="1:3" x14ac:dyDescent="0.3">
      <c r="A8" s="23" t="s">
        <v>581</v>
      </c>
      <c r="B8" s="29" t="str">
        <f>IF(Consolidation!L11="","",Consolidation!L11)</f>
        <v>WARNING: Missing Data in One or More Entities</v>
      </c>
      <c r="C8" s="23"/>
    </row>
    <row r="9" spans="1:3" x14ac:dyDescent="0.3">
      <c r="A9" s="23" t="s">
        <v>582</v>
      </c>
      <c r="B9" s="29" t="str">
        <f>IF(Scenario_Analysis!B2="","Base scenario in use",IF(Scenario_Analysis!B2="Worst Case","Scenario downside pressure on valuation",IF(Scenario_Analysis!B2="Best Case","Scenario upside optionality reflected","Base scenario in use")))</f>
        <v>Base scenario in use</v>
      </c>
      <c r="C9" s="23"/>
    </row>
    <row r="10" spans="1:3" x14ac:dyDescent="0.3">
      <c r="A10" s="23" t="s">
        <v>583</v>
      </c>
      <c r="B10" s="29" t="str">
        <f>IF(Scenario_Analysis!B2="","",Scenario_Analysis!B2)</f>
        <v/>
      </c>
      <c r="C10" s="2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DA3C-4FC4-409E-8675-7D51A5CF10D0}">
  <dimension ref="A1:Q20"/>
  <sheetViews>
    <sheetView workbookViewId="0"/>
  </sheetViews>
  <sheetFormatPr defaultRowHeight="14.4" x14ac:dyDescent="0.3"/>
  <cols>
    <col min="1" max="1" width="27.109375" bestFit="1" customWidth="1"/>
    <col min="2" max="2" width="34.109375" bestFit="1" customWidth="1"/>
    <col min="3" max="3" width="7" bestFit="1" customWidth="1"/>
    <col min="4" max="4" width="12.88671875" bestFit="1" customWidth="1"/>
    <col min="5" max="5" width="6.33203125" bestFit="1" customWidth="1"/>
    <col min="6" max="6" width="33.109375" bestFit="1" customWidth="1"/>
  </cols>
  <sheetData>
    <row r="1" spans="1:17" x14ac:dyDescent="0.3">
      <c r="A1" s="31" t="s">
        <v>584</v>
      </c>
      <c r="B1" s="31"/>
      <c r="C1" s="31"/>
      <c r="D1" s="31"/>
      <c r="E1" s="31"/>
      <c r="F1" s="31"/>
      <c r="H1" t="s">
        <v>585</v>
      </c>
    </row>
    <row r="2" spans="1:17" x14ac:dyDescent="0.3">
      <c r="A2" s="23"/>
      <c r="B2" s="23"/>
      <c r="C2" s="23"/>
      <c r="D2" s="23"/>
      <c r="E2" s="23"/>
      <c r="F2" s="23"/>
    </row>
    <row r="3" spans="1:17" x14ac:dyDescent="0.3">
      <c r="A3" s="28" t="s">
        <v>586</v>
      </c>
      <c r="B3" s="28" t="s">
        <v>587</v>
      </c>
      <c r="C3" s="28" t="s">
        <v>311</v>
      </c>
      <c r="D3" s="28" t="s">
        <v>588</v>
      </c>
      <c r="E3" s="28" t="s">
        <v>589</v>
      </c>
      <c r="F3" s="28" t="s">
        <v>384</v>
      </c>
      <c r="G3" t="s">
        <v>587</v>
      </c>
      <c r="H3" t="s">
        <v>84</v>
      </c>
      <c r="I3" t="s">
        <v>590</v>
      </c>
      <c r="J3" t="s">
        <v>591</v>
      </c>
      <c r="K3" t="s">
        <v>592</v>
      </c>
      <c r="L3" t="s">
        <v>593</v>
      </c>
      <c r="M3" t="s">
        <v>594</v>
      </c>
      <c r="N3" t="s">
        <v>384</v>
      </c>
      <c r="O3" t="s">
        <v>81</v>
      </c>
      <c r="P3" t="s">
        <v>97</v>
      </c>
      <c r="Q3" t="s">
        <v>14</v>
      </c>
    </row>
    <row r="4" spans="1:17" x14ac:dyDescent="0.3">
      <c r="A4" s="23" t="s">
        <v>595</v>
      </c>
      <c r="B4" s="23" t="s">
        <v>596</v>
      </c>
      <c r="C4" s="29"/>
      <c r="D4" s="33"/>
      <c r="E4" s="29"/>
      <c r="F4" s="23" t="str">
        <f t="shared" ref="F4:F15" si="0">IF(C4&lt;&gt;"Received","WARNING: Missing Financial Document","")</f>
        <v>WARNING: Missing Financial Document</v>
      </c>
      <c r="G4" t="str">
        <f t="shared" ref="G4:G15" si="1">B4</f>
        <v>Articles / Formation Docs</v>
      </c>
      <c r="H4" t="s">
        <v>74</v>
      </c>
      <c r="I4" t="str">
        <f>IF(COUNT(Fin_Inputs_Entity1!B5:F37)&gt;0,"Received","Missing")</f>
        <v>Missing</v>
      </c>
      <c r="J4" t="str">
        <f>IF(AND(Entity_Ownership!F4&lt;&gt;"",Entity_Ownership!G4&lt;&gt;""),"Received","Missing")</f>
        <v>Missing</v>
      </c>
      <c r="K4" t="str">
        <f>IF(OR(Fin_Inputs_Entity1!F26&lt;&gt;"",Fin_Inputs_Entity1!F27&lt;&gt;"",Fin_Inputs_Entity1!F12&lt;&gt;""),"Received","Missing")</f>
        <v>Missing</v>
      </c>
      <c r="L4" t="str">
        <f>IF(COUNT(Fin_Inputs_Entity1!D5:F37)&gt;0,"Received","Missing")</f>
        <v>Missing</v>
      </c>
      <c r="M4">
        <f t="shared" ref="M4:M13" si="2">COUNTIF(I4:L4,"Missing")</f>
        <v>4</v>
      </c>
      <c r="N4" t="str">
        <f t="shared" ref="N4:N13" si="3">IF(M4&gt;0,"WARNING: Missing entity documents","")</f>
        <v>WARNING: Missing entity documents</v>
      </c>
    </row>
    <row r="5" spans="1:17" x14ac:dyDescent="0.3">
      <c r="A5" s="23" t="s">
        <v>595</v>
      </c>
      <c r="B5" s="23" t="s">
        <v>597</v>
      </c>
      <c r="C5" s="29"/>
      <c r="D5" s="33"/>
      <c r="E5" s="29"/>
      <c r="F5" s="23" t="str">
        <f t="shared" si="0"/>
        <v>WARNING: Missing Financial Document</v>
      </c>
      <c r="G5" t="str">
        <f t="shared" si="1"/>
        <v>Ownership / Cap Table</v>
      </c>
      <c r="H5" t="s">
        <v>75</v>
      </c>
      <c r="I5" t="str">
        <f>IF(COUNT(Fin_Inputs_Entity2!B5:F37)&gt;0,"Received","Missing")</f>
        <v>Missing</v>
      </c>
      <c r="J5" t="str">
        <f>IF(AND(Entity_Ownership!F5&lt;&gt;"",Entity_Ownership!G5&lt;&gt;""),"Received","Missing")</f>
        <v>Missing</v>
      </c>
      <c r="K5" t="str">
        <f>IF(OR(Fin_Inputs_Entity2!F26&lt;&gt;"",Fin_Inputs_Entity2!F27&lt;&gt;"",Fin_Inputs_Entity2!F12&lt;&gt;""),"Received","Missing")</f>
        <v>Missing</v>
      </c>
      <c r="L5" t="str">
        <f>IF(COUNT(Fin_Inputs_Entity2!D5:F37)&gt;0,"Received","Missing")</f>
        <v>Missing</v>
      </c>
      <c r="M5">
        <f t="shared" si="2"/>
        <v>4</v>
      </c>
      <c r="N5" t="str">
        <f t="shared" si="3"/>
        <v>WARNING: Missing entity documents</v>
      </c>
    </row>
    <row r="6" spans="1:17" x14ac:dyDescent="0.3">
      <c r="A6" s="23" t="s">
        <v>598</v>
      </c>
      <c r="B6" s="23" t="s">
        <v>599</v>
      </c>
      <c r="C6" s="29"/>
      <c r="D6" s="33"/>
      <c r="E6" s="29"/>
      <c r="F6" s="23" t="str">
        <f t="shared" si="0"/>
        <v>WARNING: Missing Financial Document</v>
      </c>
      <c r="G6" t="str">
        <f t="shared" si="1"/>
        <v>5 Years Income Statement</v>
      </c>
      <c r="H6" t="s">
        <v>76</v>
      </c>
      <c r="I6" t="str">
        <f>IF(COUNT(Fin_Inputs_Entity3!B5:F37)&gt;0,"Received","Missing")</f>
        <v>Missing</v>
      </c>
      <c r="J6" t="str">
        <f>IF(AND(Entity_Ownership!F6&lt;&gt;"",Entity_Ownership!G6&lt;&gt;""),"Received","Missing")</f>
        <v>Missing</v>
      </c>
      <c r="K6" t="str">
        <f>IF(OR(Fin_Inputs_Entity3!F26&lt;&gt;"",Fin_Inputs_Entity3!F27&lt;&gt;"",Fin_Inputs_Entity3!F12&lt;&gt;""),"Received","Missing")</f>
        <v>Missing</v>
      </c>
      <c r="L6" t="str">
        <f>IF(COUNT(Fin_Inputs_Entity3!D5:F37)&gt;0,"Received","Missing")</f>
        <v>Missing</v>
      </c>
      <c r="M6">
        <f t="shared" si="2"/>
        <v>4</v>
      </c>
      <c r="N6" t="str">
        <f t="shared" si="3"/>
        <v>WARNING: Missing entity documents</v>
      </c>
    </row>
    <row r="7" spans="1:17" x14ac:dyDescent="0.3">
      <c r="A7" s="23" t="s">
        <v>598</v>
      </c>
      <c r="B7" s="23" t="s">
        <v>600</v>
      </c>
      <c r="C7" s="29"/>
      <c r="D7" s="33"/>
      <c r="E7" s="29"/>
      <c r="F7" s="23" t="str">
        <f t="shared" si="0"/>
        <v>WARNING: Missing Financial Document</v>
      </c>
      <c r="G7" t="str">
        <f t="shared" si="1"/>
        <v>5 Years Balance Sheet</v>
      </c>
      <c r="H7" t="s">
        <v>77</v>
      </c>
      <c r="I7" t="str">
        <f>IF(COUNT(Fin_Inputs_Entity4!B5:F37)&gt;0,"Received","Missing")</f>
        <v>Missing</v>
      </c>
      <c r="J7" t="str">
        <f>IF(AND(Entity_Ownership!F7&lt;&gt;"",Entity_Ownership!G7&lt;&gt;""),"Received","Missing")</f>
        <v>Missing</v>
      </c>
      <c r="K7" t="str">
        <f>IF(OR(Fin_Inputs_Entity4!F26&lt;&gt;"",Fin_Inputs_Entity4!F27&lt;&gt;"",Fin_Inputs_Entity4!F12&lt;&gt;""),"Received","Missing")</f>
        <v>Missing</v>
      </c>
      <c r="L7" t="str">
        <f>IF(COUNT(Fin_Inputs_Entity4!D5:F37)&gt;0,"Received","Missing")</f>
        <v>Missing</v>
      </c>
      <c r="M7">
        <f t="shared" si="2"/>
        <v>4</v>
      </c>
      <c r="N7" t="str">
        <f t="shared" si="3"/>
        <v>WARNING: Missing entity documents</v>
      </c>
    </row>
    <row r="8" spans="1:17" x14ac:dyDescent="0.3">
      <c r="A8" s="23" t="s">
        <v>598</v>
      </c>
      <c r="B8" s="23" t="s">
        <v>601</v>
      </c>
      <c r="C8" s="29"/>
      <c r="D8" s="33"/>
      <c r="E8" s="29"/>
      <c r="F8" s="23" t="str">
        <f t="shared" si="0"/>
        <v>WARNING: Missing Financial Document</v>
      </c>
      <c r="G8" t="str">
        <f t="shared" si="1"/>
        <v>5 Years Cash Flow Statement</v>
      </c>
      <c r="H8" t="s">
        <v>78</v>
      </c>
      <c r="I8" t="str">
        <f>IF(COUNT(Fin_Inputs_Entity5!B5:F37)&gt;0,"Received","Missing")</f>
        <v>Missing</v>
      </c>
      <c r="J8" t="str">
        <f>IF(AND(Entity_Ownership!F8&lt;&gt;"",Entity_Ownership!G8&lt;&gt;""),"Received","Missing")</f>
        <v>Missing</v>
      </c>
      <c r="K8" t="str">
        <f>IF(OR(Fin_Inputs_Entity5!F26&lt;&gt;"",Fin_Inputs_Entity5!F27&lt;&gt;"",Fin_Inputs_Entity5!F12&lt;&gt;""),"Received","Missing")</f>
        <v>Missing</v>
      </c>
      <c r="L8" t="str">
        <f>IF(COUNT(Fin_Inputs_Entity5!D5:F37)&gt;0,"Received","Missing")</f>
        <v>Missing</v>
      </c>
      <c r="M8">
        <f t="shared" si="2"/>
        <v>4</v>
      </c>
      <c r="N8" t="str">
        <f t="shared" si="3"/>
        <v>WARNING: Missing entity documents</v>
      </c>
    </row>
    <row r="9" spans="1:17" x14ac:dyDescent="0.3">
      <c r="A9" s="23" t="s">
        <v>598</v>
      </c>
      <c r="B9" s="23" t="s">
        <v>602</v>
      </c>
      <c r="C9" s="29"/>
      <c r="D9" s="33"/>
      <c r="E9" s="29"/>
      <c r="F9" s="23" t="str">
        <f t="shared" si="0"/>
        <v>WARNING: Missing Financial Document</v>
      </c>
      <c r="G9" t="str">
        <f t="shared" si="1"/>
        <v>Tax Returns</v>
      </c>
      <c r="H9" t="s">
        <v>79</v>
      </c>
      <c r="I9" t="str">
        <f>IF(COUNT(Fin_Inputs_Entity6!B5:F37)&gt;0,"Received","Missing")</f>
        <v>Missing</v>
      </c>
      <c r="J9" t="str">
        <f>IF(AND(Entity_Ownership!F9&lt;&gt;"",Entity_Ownership!G9&lt;&gt;""),"Received","Missing")</f>
        <v>Missing</v>
      </c>
      <c r="K9" t="str">
        <f>IF(OR(Fin_Inputs_Entity6!F26&lt;&gt;"",Fin_Inputs_Entity6!F27&lt;&gt;"",Fin_Inputs_Entity6!F12&lt;&gt;""),"Received","Missing")</f>
        <v>Missing</v>
      </c>
      <c r="L9" t="str">
        <f>IF(COUNT(Fin_Inputs_Entity6!D5:F37)&gt;0,"Received","Missing")</f>
        <v>Missing</v>
      </c>
      <c r="M9">
        <f t="shared" si="2"/>
        <v>4</v>
      </c>
      <c r="N9" t="str">
        <f t="shared" si="3"/>
        <v>WARNING: Missing entity documents</v>
      </c>
    </row>
    <row r="10" spans="1:17" x14ac:dyDescent="0.3">
      <c r="A10" s="23" t="s">
        <v>603</v>
      </c>
      <c r="B10" s="23" t="s">
        <v>592</v>
      </c>
      <c r="C10" s="29"/>
      <c r="D10" s="33"/>
      <c r="E10" s="29"/>
      <c r="F10" s="23" t="str">
        <f t="shared" si="0"/>
        <v>WARNING: Missing Financial Document</v>
      </c>
      <c r="G10" t="str">
        <f t="shared" si="1"/>
        <v>Debt Schedule</v>
      </c>
      <c r="H10" t="s">
        <v>80</v>
      </c>
      <c r="I10" t="str">
        <f>IF(COUNT(Fin_Inputs_Entity7!B5:F37)&gt;0,"Received","Missing")</f>
        <v>Missing</v>
      </c>
      <c r="J10" t="str">
        <f>IF(AND(Entity_Ownership!F10&lt;&gt;"",Entity_Ownership!G10&lt;&gt;""),"Received","Missing")</f>
        <v>Missing</v>
      </c>
      <c r="K10" t="str">
        <f>IF(OR(Fin_Inputs_Entity7!F26&lt;&gt;"",Fin_Inputs_Entity7!F27&lt;&gt;"",Fin_Inputs_Entity7!F12&lt;&gt;""),"Received","Missing")</f>
        <v>Missing</v>
      </c>
      <c r="L10" t="str">
        <f>IF(COUNT(Fin_Inputs_Entity7!D5:F37)&gt;0,"Received","Missing")</f>
        <v>Missing</v>
      </c>
      <c r="M10">
        <f t="shared" si="2"/>
        <v>4</v>
      </c>
      <c r="N10" t="str">
        <f t="shared" si="3"/>
        <v>WARNING: Missing entity documents</v>
      </c>
    </row>
    <row r="11" spans="1:17" x14ac:dyDescent="0.3">
      <c r="A11" s="23" t="s">
        <v>604</v>
      </c>
      <c r="B11" s="23" t="s">
        <v>605</v>
      </c>
      <c r="C11" s="29"/>
      <c r="D11" s="33"/>
      <c r="E11" s="29"/>
      <c r="F11" s="23" t="str">
        <f t="shared" si="0"/>
        <v>WARNING: Missing Financial Document</v>
      </c>
      <c r="G11" t="str">
        <f t="shared" si="1"/>
        <v>AR Aging</v>
      </c>
      <c r="H11" t="s">
        <v>81</v>
      </c>
      <c r="I11" t="str">
        <f>IF(COUNT(Fin_Inputs_Entity8!B5:F37)&gt;0,"Received","Missing")</f>
        <v>Missing</v>
      </c>
      <c r="J11" t="str">
        <f>IF(AND(Entity_Ownership!F11&lt;&gt;"",Entity_Ownership!G11&lt;&gt;""),"Received","Missing")</f>
        <v>Missing</v>
      </c>
      <c r="K11" t="str">
        <f>IF(OR(Fin_Inputs_Entity8!F26&lt;&gt;"",Fin_Inputs_Entity8!F27&lt;&gt;"",Fin_Inputs_Entity8!F12&lt;&gt;""),"Received","Missing")</f>
        <v>Missing</v>
      </c>
      <c r="L11" t="str">
        <f>IF(COUNT(Fin_Inputs_Entity8!D5:F37)&gt;0,"Received","Missing")</f>
        <v>Missing</v>
      </c>
      <c r="M11">
        <f t="shared" si="2"/>
        <v>4</v>
      </c>
      <c r="N11" t="str">
        <f t="shared" si="3"/>
        <v>WARNING: Missing entity documents</v>
      </c>
    </row>
    <row r="12" spans="1:17" x14ac:dyDescent="0.3">
      <c r="A12" s="23" t="s">
        <v>604</v>
      </c>
      <c r="B12" s="23" t="s">
        <v>606</v>
      </c>
      <c r="C12" s="29"/>
      <c r="D12" s="33"/>
      <c r="E12" s="29"/>
      <c r="F12" s="23" t="str">
        <f t="shared" si="0"/>
        <v>WARNING: Missing Financial Document</v>
      </c>
      <c r="G12" t="str">
        <f t="shared" si="1"/>
        <v>AP Aging</v>
      </c>
      <c r="H12" t="s">
        <v>97</v>
      </c>
      <c r="I12" t="str">
        <f>IF(COUNT(Fin_Inputs_Entity9!B5:F37)&gt;0,"Received","Missing")</f>
        <v>Missing</v>
      </c>
      <c r="J12" t="str">
        <f>IF(AND(Entity_Ownership!F12&lt;&gt;"",Entity_Ownership!G12&lt;&gt;""),"Received","Missing")</f>
        <v>Missing</v>
      </c>
      <c r="K12" t="str">
        <f>IF(OR(Fin_Inputs_Entity9!F26&lt;&gt;"",Fin_Inputs_Entity9!F27&lt;&gt;"",Fin_Inputs_Entity9!F12&lt;&gt;""),"Received","Missing")</f>
        <v>Missing</v>
      </c>
      <c r="L12" t="str">
        <f>IF(COUNT(Fin_Inputs_Entity9!D5:F37)&gt;0,"Received","Missing")</f>
        <v>Missing</v>
      </c>
      <c r="M12">
        <f t="shared" si="2"/>
        <v>4</v>
      </c>
      <c r="N12" t="str">
        <f t="shared" si="3"/>
        <v>WARNING: Missing entity documents</v>
      </c>
    </row>
    <row r="13" spans="1:17" x14ac:dyDescent="0.3">
      <c r="A13" s="23" t="s">
        <v>604</v>
      </c>
      <c r="B13" s="23" t="s">
        <v>607</v>
      </c>
      <c r="C13" s="29"/>
      <c r="D13" s="33"/>
      <c r="E13" s="29"/>
      <c r="F13" s="23" t="str">
        <f t="shared" si="0"/>
        <v>WARNING: Missing Financial Document</v>
      </c>
      <c r="G13" t="str">
        <f t="shared" si="1"/>
        <v>Inventory Rollforward</v>
      </c>
      <c r="H13" t="s">
        <v>14</v>
      </c>
      <c r="I13" t="str">
        <f>IF(COUNT(Fin_Inputs_Entity10!B5:F37)&gt;0,"Received","Missing")</f>
        <v>Missing</v>
      </c>
      <c r="J13" t="str">
        <f>IF(AND(Entity_Ownership!F13&lt;&gt;"",Entity_Ownership!G13&lt;&gt;""),"Received","Missing")</f>
        <v>Missing</v>
      </c>
      <c r="K13" t="str">
        <f>IF(OR(Fin_Inputs_Entity10!F26&lt;&gt;"",Fin_Inputs_Entity10!F27&lt;&gt;"",Fin_Inputs_Entity10!F12&lt;&gt;""),"Received","Missing")</f>
        <v>Missing</v>
      </c>
      <c r="L13" t="str">
        <f>IF(COUNT(Fin_Inputs_Entity10!D5:F37)&gt;0,"Received","Missing")</f>
        <v>Missing</v>
      </c>
      <c r="M13">
        <f t="shared" si="2"/>
        <v>4</v>
      </c>
      <c r="N13" t="str">
        <f t="shared" si="3"/>
        <v>WARNING: Missing entity documents</v>
      </c>
    </row>
    <row r="14" spans="1:17" x14ac:dyDescent="0.3">
      <c r="A14" s="23" t="s">
        <v>608</v>
      </c>
      <c r="B14" s="23" t="s">
        <v>609</v>
      </c>
      <c r="C14" s="29"/>
      <c r="D14" s="33"/>
      <c r="E14" s="29"/>
      <c r="F14" s="23" t="str">
        <f t="shared" si="0"/>
        <v>WARNING: Missing Financial Document</v>
      </c>
      <c r="G14" t="str">
        <f t="shared" si="1"/>
        <v>Forecast / Budget</v>
      </c>
    </row>
    <row r="15" spans="1:17" x14ac:dyDescent="0.3">
      <c r="A15" s="23" t="s">
        <v>610</v>
      </c>
      <c r="B15" s="23" t="s">
        <v>611</v>
      </c>
      <c r="C15" s="29"/>
      <c r="D15" s="33"/>
      <c r="E15" s="29"/>
      <c r="F15" s="23" t="str">
        <f t="shared" si="0"/>
        <v>WARNING: Missing Financial Document</v>
      </c>
      <c r="G15" t="str">
        <f t="shared" si="1"/>
        <v>Collateral Summary</v>
      </c>
    </row>
    <row r="16" spans="1:17" x14ac:dyDescent="0.3">
      <c r="A16" s="23"/>
      <c r="B16" s="23"/>
      <c r="C16" s="23"/>
      <c r="D16" s="23"/>
      <c r="E16" s="23"/>
      <c r="F16" s="23"/>
    </row>
    <row r="17" spans="1:17" x14ac:dyDescent="0.3">
      <c r="A17" s="23" t="s">
        <v>612</v>
      </c>
      <c r="B17" s="23">
        <f>SUM(H17:N17)</f>
        <v>100</v>
      </c>
      <c r="C17" s="23"/>
      <c r="D17" s="23"/>
      <c r="E17" s="23"/>
      <c r="F17" s="23"/>
      <c r="G17" t="s">
        <v>612</v>
      </c>
      <c r="H17">
        <f>COUNTIF(I4:I13,"&lt;&gt;Received")</f>
        <v>10</v>
      </c>
      <c r="I17">
        <f>COUNTIF(I4:I13,"Missing")</f>
        <v>10</v>
      </c>
      <c r="J17">
        <f>COUNTIF(J4:J13,"Missing")</f>
        <v>10</v>
      </c>
      <c r="K17">
        <f>COUNTIF(K4:K13,"Missing")</f>
        <v>10</v>
      </c>
      <c r="L17">
        <f>COUNTIF(L4:L13,"Missing")</f>
        <v>10</v>
      </c>
      <c r="M17">
        <f>SUM(I17:L17)</f>
        <v>40</v>
      </c>
      <c r="N17">
        <f>COUNTIF(N4:N13,"WARNING*")</f>
        <v>10</v>
      </c>
      <c r="O17">
        <f>COUNTIF(O4:O15,"&lt;&gt;Received")</f>
        <v>12</v>
      </c>
      <c r="P17">
        <f>COUNTIF(P4:P15,"&lt;&gt;Received")</f>
        <v>12</v>
      </c>
      <c r="Q17">
        <f>COUNTIF(Q4:Q15,"&lt;&gt;Received")</f>
        <v>12</v>
      </c>
    </row>
    <row r="18" spans="1:17" x14ac:dyDescent="0.3">
      <c r="A18" s="23" t="s">
        <v>418</v>
      </c>
      <c r="B18" s="23" t="str">
        <f>IF(B17&gt;0,"WARNING: Missing Financial Documents","Complete")</f>
        <v>WARNING: Missing Financial Documents</v>
      </c>
      <c r="C18" s="23"/>
      <c r="D18" s="23"/>
      <c r="E18" s="23"/>
      <c r="F18" s="23"/>
      <c r="G18" t="s">
        <v>311</v>
      </c>
      <c r="H18" t="str">
        <f t="shared" ref="H18:Q18" si="4">IF(H17&gt;0,"WARNING: Missing Financial Document","Complete")</f>
        <v>WARNING: Missing Financial Document</v>
      </c>
      <c r="I18" t="str">
        <f t="shared" si="4"/>
        <v>WARNING: Missing Financial Document</v>
      </c>
      <c r="J18" t="str">
        <f t="shared" si="4"/>
        <v>WARNING: Missing Financial Document</v>
      </c>
      <c r="K18" t="str">
        <f t="shared" si="4"/>
        <v>WARNING: Missing Financial Document</v>
      </c>
      <c r="L18" t="str">
        <f t="shared" si="4"/>
        <v>WARNING: Missing Financial Document</v>
      </c>
      <c r="M18" t="str">
        <f t="shared" si="4"/>
        <v>WARNING: Missing Financial Document</v>
      </c>
      <c r="N18" t="str">
        <f t="shared" si="4"/>
        <v>WARNING: Missing Financial Document</v>
      </c>
      <c r="O18" t="str">
        <f t="shared" si="4"/>
        <v>WARNING: Missing Financial Document</v>
      </c>
      <c r="P18" t="str">
        <f t="shared" si="4"/>
        <v>WARNING: Missing Financial Document</v>
      </c>
      <c r="Q18" t="str">
        <f t="shared" si="4"/>
        <v>WARNING: Missing Financial Document</v>
      </c>
    </row>
    <row r="19" spans="1:17" x14ac:dyDescent="0.3">
      <c r="A19" s="5"/>
      <c r="B19" s="5"/>
      <c r="C19" s="5"/>
      <c r="D19" s="5"/>
      <c r="E19" s="5"/>
      <c r="F19" s="5"/>
    </row>
    <row r="20" spans="1:17" x14ac:dyDescent="0.3">
      <c r="A20" s="5"/>
      <c r="B20" s="5"/>
      <c r="C20" s="5"/>
      <c r="D20" s="5"/>
      <c r="E20" s="5"/>
      <c r="F20" s="5"/>
    </row>
  </sheetData>
  <dataValidations count="2">
    <dataValidation type="list" allowBlank="1" showInputMessage="1" showErrorMessage="1" sqref="H4:Q15" xr:uid="{E77092FB-DF4E-4E11-A4E6-B7FE165EBC05}">
      <formula1>"Received,Missing,Pending"</formula1>
    </dataValidation>
    <dataValidation type="list" allowBlank="1" showInputMessage="1" showErrorMessage="1" sqref="C4:C15" xr:uid="{55836C1E-9549-4F8F-BC82-4BEB73F2E1FA}">
      <formula1>NR_List_Document_Status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8FB9-FA2B-4F49-8643-4C0E86F0C67C}">
  <dimension ref="A1:H46"/>
  <sheetViews>
    <sheetView workbookViewId="0">
      <selection sqref="A1:G1"/>
    </sheetView>
  </sheetViews>
  <sheetFormatPr defaultRowHeight="14.4" x14ac:dyDescent="0.3"/>
  <cols>
    <col min="1" max="1" width="23.109375" bestFit="1" customWidth="1"/>
    <col min="2" max="2" width="47.88671875" bestFit="1" customWidth="1"/>
    <col min="3" max="3" width="27.109375" bestFit="1" customWidth="1"/>
    <col min="4" max="4" width="9.33203125" bestFit="1" customWidth="1"/>
    <col min="5" max="6" width="6" bestFit="1" customWidth="1"/>
    <col min="7" max="7" width="8.33203125" bestFit="1" customWidth="1"/>
  </cols>
  <sheetData>
    <row r="1" spans="1:8" x14ac:dyDescent="0.3">
      <c r="A1" s="105" t="s">
        <v>613</v>
      </c>
      <c r="B1" s="105"/>
      <c r="C1" s="105"/>
      <c r="D1" s="105"/>
      <c r="E1" s="105"/>
      <c r="F1" s="105"/>
      <c r="G1" s="105"/>
      <c r="H1" s="79"/>
    </row>
    <row r="2" spans="1:8" x14ac:dyDescent="0.3">
      <c r="A2" s="80"/>
      <c r="B2" s="81"/>
      <c r="C2" s="80"/>
      <c r="D2" s="80"/>
      <c r="E2" s="80"/>
      <c r="F2" s="80"/>
      <c r="G2" s="80"/>
      <c r="H2" s="79"/>
    </row>
    <row r="3" spans="1:8" x14ac:dyDescent="0.3">
      <c r="A3" s="105" t="s">
        <v>190</v>
      </c>
      <c r="B3" s="105"/>
      <c r="C3" s="105"/>
      <c r="D3" s="82"/>
      <c r="E3" s="82"/>
      <c r="F3" s="82"/>
      <c r="G3" s="82"/>
      <c r="H3" s="79"/>
    </row>
    <row r="4" spans="1:8" x14ac:dyDescent="0.3">
      <c r="A4" s="80" t="s">
        <v>16</v>
      </c>
      <c r="B4" s="80" t="s">
        <v>91</v>
      </c>
      <c r="C4" s="80" t="s">
        <v>90</v>
      </c>
      <c r="D4" s="80"/>
      <c r="E4" s="80"/>
      <c r="F4" s="80"/>
      <c r="G4" s="80"/>
      <c r="H4" s="79"/>
    </row>
    <row r="5" spans="1:8" x14ac:dyDescent="0.3">
      <c r="A5" s="80" t="s">
        <v>191</v>
      </c>
      <c r="B5" s="87" t="str">
        <f>IF(AND(Entity_Ownership!$F$4&lt;&gt;"",UPPER(Entity_Ownership!$F$4)&lt;&gt;"UNITED STATES",COUNTIFS(Global_Rates!$B$4:$B$73,"Entity 1",Global_Rates!$A$4:$A$73,"Local 10-Year Government Bond Yield",Global_Rates!$F$4:$F$73,"&lt;&gt;")&gt;0),SUMIFS(Global_Rates!$F$4:$F$73,Global_Rates!$B$4:$B$73,"Entity 1",Global_Rates!$A$4:$A$73,"Local 10-Year Government Bond Yield"),IF(COUNTIFS(Global_Rates!$B$4:$B$73,"Entity 1",Global_Rates!$A$4:$A$73,"U.S. 10-Year Treasury",Global_Rates!$F$4:$F$73,"&lt;&gt;")&gt;0,SUMIFS(Global_Rates!$F$4:$F$73,Global_Rates!$B$4:$B$73,"Entity 1",Global_Rates!$A$4:$A$73,"U.S. 10-Year Treasury"),""))</f>
        <v/>
      </c>
      <c r="C5" s="80" t="s">
        <v>614</v>
      </c>
      <c r="D5" s="80"/>
      <c r="E5" s="80"/>
      <c r="F5" s="80"/>
      <c r="G5" s="80"/>
      <c r="H5" s="79"/>
    </row>
    <row r="6" spans="1:8" x14ac:dyDescent="0.3">
      <c r="A6" s="80" t="s">
        <v>193</v>
      </c>
      <c r="B6" s="87" t="str">
        <f>IF(COUNTIFS(Global_Rates!$B$4:$B$73,"Entity 1",Global_Rates!$A$4:$A$73,"Beta",Global_Rates!$F$4:$F$73,"&lt;&gt;")&gt;0,SUMIFS(Global_Rates!$F$4:$F$73,Global_Rates!$B$4:$B$73,"Entity 1",Global_Rates!$A$4:$A$73,"Beta"),"")</f>
        <v/>
      </c>
      <c r="C6" s="80" t="s">
        <v>615</v>
      </c>
      <c r="D6" s="80"/>
      <c r="E6" s="80"/>
      <c r="F6" s="80"/>
      <c r="G6" s="80"/>
      <c r="H6" s="79"/>
    </row>
    <row r="7" spans="1:8" x14ac:dyDescent="0.3">
      <c r="A7" s="80" t="s">
        <v>195</v>
      </c>
      <c r="B7" s="87" t="str">
        <f>IF(AND(Entity_Ownership!$F$4&lt;&gt;"",UPPER(Entity_Ownership!$F$4)&lt;&gt;"UNITED STATES",COUNTIFS(Global_Rates!$B$4:$B$73,"Entity 1",Global_Rates!$A$4:$A$73,"Local Market Risk Premium",Global_Rates!$F$4:$F$73,"&lt;&gt;")&gt;0),SUMIFS(Global_Rates!$F$4:$F$73,Global_Rates!$B$4:$B$73,"Entity 1",Global_Rates!$A$4:$A$73,"Local Market Risk Premium"),IF(COUNTIFS(Global_Rates!$B$4:$B$73,"Entity 1",Global_Rates!$A$4:$A$73,"U.S. Market Risk Premium",Global_Rates!$F$4:$F$73,"&lt;&gt;")&gt;0,SUMIFS(Global_Rates!$F$4:$F$73,Global_Rates!$B$4:$B$73,"Entity 1",Global_Rates!$A$4:$A$73,"U.S. Market Risk Premium"),""))</f>
        <v/>
      </c>
      <c r="C7" s="80" t="s">
        <v>614</v>
      </c>
      <c r="D7" s="80"/>
      <c r="E7" s="80"/>
      <c r="F7" s="80"/>
      <c r="G7" s="80"/>
      <c r="H7" s="79"/>
    </row>
    <row r="8" spans="1:8" x14ac:dyDescent="0.3">
      <c r="A8" s="80" t="s">
        <v>197</v>
      </c>
      <c r="B8" s="87" t="str">
        <f>IF(AND(Entity_Ownership!$F$4&lt;&gt;"",UPPER(Entity_Ownership!$F$4)&lt;&gt;"UNITED STATES",COUNTIFS(Global_Rates!$B$4:$B$73,"Entity 1",Global_Rates!$A$4:$A$73,"Local Corporate Bond Yield",Global_Rates!$F$4:$F$73,"&lt;&gt;")&gt;0),SUMIFS(Global_Rates!$F$4:$F$73,Global_Rates!$B$4:$B$73,"Entity 1",Global_Rates!$A$4:$A$73,"Local Corporate Bond Yield"),IF(COUNTIFS(Global_Rates!$B$4:$B$73,"Entity 1",Global_Rates!$A$4:$A$73,"U.S. Corporate Bond Yield",Global_Rates!$F$4:$F$73,"&lt;&gt;")&gt;0,SUMIFS(Global_Rates!$F$4:$F$73,Global_Rates!$B$4:$B$73,"Entity 1",Global_Rates!$A$4:$A$73,"U.S. Corporate Bond Yield"),""))</f>
        <v/>
      </c>
      <c r="C8" s="80" t="s">
        <v>616</v>
      </c>
      <c r="D8" s="80"/>
      <c r="E8" s="80"/>
      <c r="F8" s="80"/>
      <c r="G8" s="80"/>
      <c r="H8" s="79"/>
    </row>
    <row r="9" spans="1:8" x14ac:dyDescent="0.3">
      <c r="A9" s="80" t="s">
        <v>199</v>
      </c>
      <c r="B9" s="87" t="str">
        <f>IF(OR(Fin_Inputs_Entity1!F13="",Fin_Inputs_Entity1!F11="",Fin_Inputs_Entity1!F11=0),"",ABS(Fin_Inputs_Entity1!F13/Fin_Inputs_Entity1!F11))</f>
        <v/>
      </c>
      <c r="C9" s="80" t="s">
        <v>617</v>
      </c>
      <c r="D9" s="80"/>
      <c r="E9" s="80"/>
      <c r="F9" s="80"/>
      <c r="G9" s="80"/>
      <c r="H9" s="79"/>
    </row>
    <row r="10" spans="1:8" x14ac:dyDescent="0.3">
      <c r="A10" s="80" t="s">
        <v>201</v>
      </c>
      <c r="B10" s="87" t="str">
        <f>IF((N(Fin_Inputs_Entity1!F26)+N(Fin_Inputs_Entity1!F27)+N(Fin_Inputs_Entity1!F29))=0,"",(N(Fin_Inputs_Entity1!F26)+N(Fin_Inputs_Entity1!F27))/(N(Fin_Inputs_Entity1!F26)+N(Fin_Inputs_Entity1!F27)+N(Fin_Inputs_Entity1!F29)))</f>
        <v/>
      </c>
      <c r="C10" s="80" t="s">
        <v>618</v>
      </c>
      <c r="D10" s="80"/>
      <c r="E10" s="80"/>
      <c r="F10" s="80"/>
      <c r="G10" s="80"/>
      <c r="H10" s="79"/>
    </row>
    <row r="11" spans="1:8" x14ac:dyDescent="0.3">
      <c r="A11" s="80" t="s">
        <v>203</v>
      </c>
      <c r="B11" s="87" t="str">
        <f>IF((N(Fin_Inputs_Entity1!F26)+N(Fin_Inputs_Entity1!F27)+N(Fin_Inputs_Entity1!F29))=0,"",N(Fin_Inputs_Entity1!F29)/(N(Fin_Inputs_Entity1!F26)+N(Fin_Inputs_Entity1!F27)+N(Fin_Inputs_Entity1!F29)))</f>
        <v/>
      </c>
      <c r="C11" s="80" t="s">
        <v>619</v>
      </c>
      <c r="D11" s="80"/>
      <c r="E11" s="80"/>
      <c r="F11" s="80"/>
      <c r="G11" s="80"/>
      <c r="H11" s="79"/>
    </row>
    <row r="12" spans="1:8" x14ac:dyDescent="0.3">
      <c r="A12" s="80" t="s">
        <v>205</v>
      </c>
      <c r="B12" s="87" t="str">
        <f>IF(COUNT(B5:B7)&lt;3,"",B5+B6*B7)</f>
        <v/>
      </c>
      <c r="C12" s="80" t="s">
        <v>452</v>
      </c>
      <c r="D12" s="80"/>
      <c r="E12" s="80"/>
      <c r="F12" s="80"/>
      <c r="G12" s="80"/>
      <c r="H12" s="79"/>
    </row>
    <row r="13" spans="1:8" x14ac:dyDescent="0.3">
      <c r="A13" s="80" t="s">
        <v>207</v>
      </c>
      <c r="B13" s="87" t="str">
        <f>IF(COUNT(B8:B12)&lt;5,"",(B11*B12)+(B10*B8*(1-B9)))</f>
        <v/>
      </c>
      <c r="C13" s="80" t="s">
        <v>620</v>
      </c>
      <c r="D13" s="80"/>
      <c r="E13" s="80"/>
      <c r="F13" s="80"/>
      <c r="G13" s="80"/>
      <c r="H13" s="79"/>
    </row>
    <row r="14" spans="1:8" x14ac:dyDescent="0.3">
      <c r="A14" s="80" t="s">
        <v>621</v>
      </c>
      <c r="B14" s="87" t="str">
        <f>IF(FX_Rate_Entity1="","",FX_Rate_Entity1)</f>
        <v/>
      </c>
      <c r="C14" s="80" t="s">
        <v>622</v>
      </c>
      <c r="D14" s="80"/>
      <c r="E14" s="80"/>
      <c r="F14" s="80"/>
      <c r="G14" s="80"/>
      <c r="H14" s="79"/>
    </row>
    <row r="15" spans="1:8" x14ac:dyDescent="0.3">
      <c r="A15" s="80" t="s">
        <v>209</v>
      </c>
      <c r="B15" s="83"/>
      <c r="C15" s="80"/>
      <c r="D15" s="80"/>
      <c r="E15" s="80"/>
      <c r="F15" s="80"/>
      <c r="G15" s="80"/>
      <c r="H15" s="79"/>
    </row>
    <row r="16" spans="1:8" x14ac:dyDescent="0.3">
      <c r="A16" s="105" t="s">
        <v>155</v>
      </c>
      <c r="B16" s="106"/>
      <c r="C16" s="105"/>
      <c r="D16" s="105"/>
      <c r="E16" s="105"/>
      <c r="F16" s="105"/>
      <c r="G16" s="105"/>
      <c r="H16" s="79"/>
    </row>
    <row r="17" spans="1:8" x14ac:dyDescent="0.3">
      <c r="A17" s="82" t="s">
        <v>211</v>
      </c>
      <c r="B17" s="84" t="s">
        <v>108</v>
      </c>
      <c r="C17" s="84" t="s">
        <v>109</v>
      </c>
      <c r="D17" s="84" t="s">
        <v>110</v>
      </c>
      <c r="E17" s="84" t="s">
        <v>111</v>
      </c>
      <c r="F17" s="84" t="s">
        <v>112</v>
      </c>
      <c r="G17" s="84" t="s">
        <v>210</v>
      </c>
      <c r="H17" s="79"/>
    </row>
    <row r="18" spans="1:8" x14ac:dyDescent="0.3">
      <c r="A18" s="80" t="s">
        <v>212</v>
      </c>
      <c r="B18" s="87" t="str">
        <f>IF(OR(Fin_Inputs_Entity1!B37="",B14=""),"",Fin_Inputs_Entity1!B37*B14*(1+N(Scenario_Analysis!$E$4)-N(Scenario_Analysis!$E$6)-N(Scenario_Analysis!$E$7)))</f>
        <v/>
      </c>
      <c r="C18" s="87" t="str">
        <f>IF(OR(Fin_Inputs_Entity1!C37="",B14=""),"",Fin_Inputs_Entity1!C37*B14*(1+N(Scenario_Analysis!$E$4)-N(Scenario_Analysis!$E$6)-N(Scenario_Analysis!$E$7)))</f>
        <v/>
      </c>
      <c r="D18" s="87" t="str">
        <f>IF(OR(Fin_Inputs_Entity1!D37="",B14=""),"",Fin_Inputs_Entity1!D37*B14*(1+N(Scenario_Analysis!$E$4)-N(Scenario_Analysis!$E$6)-N(Scenario_Analysis!$E$7)))</f>
        <v/>
      </c>
      <c r="E18" s="87" t="str">
        <f>IF(OR(Fin_Inputs_Entity1!E37="",B14=""),"",Fin_Inputs_Entity1!E37*B14*(1+N(Scenario_Analysis!$E$4)-N(Scenario_Analysis!$E$6)-N(Scenario_Analysis!$E$7)))</f>
        <v/>
      </c>
      <c r="F18" s="87" t="str">
        <f>IF(OR(Fin_Inputs_Entity1!F37="",B14=""),"",Fin_Inputs_Entity1!F37*B14*(1+N(Scenario_Analysis!$E$4)-N(Scenario_Analysis!$E$6)-N(Scenario_Analysis!$E$7)))</f>
        <v/>
      </c>
      <c r="G18" s="87"/>
      <c r="H18" s="79"/>
    </row>
    <row r="19" spans="1:8" x14ac:dyDescent="0.3">
      <c r="A19" s="80" t="s">
        <v>213</v>
      </c>
      <c r="B19" s="88">
        <v>0.02</v>
      </c>
      <c r="C19" s="88"/>
      <c r="D19" s="88"/>
      <c r="E19" s="88"/>
      <c r="F19" s="88"/>
      <c r="G19" s="87" t="str">
        <f>IF(OR(F18="",B13="",B19="",B13&lt;=B19),"",F18*(1+B19)/(B13-B19))</f>
        <v/>
      </c>
      <c r="H19" s="79"/>
    </row>
    <row r="20" spans="1:8" x14ac:dyDescent="0.3">
      <c r="A20" s="80" t="s">
        <v>214</v>
      </c>
      <c r="B20" s="87" t="str">
        <f>IF(B13="","",1/(1+B13)^1)</f>
        <v/>
      </c>
      <c r="C20" s="87" t="str">
        <f>IF(B13="","",1/(1+B13)^2)</f>
        <v/>
      </c>
      <c r="D20" s="87" t="str">
        <f>IF(B13="","",1/(1+B13)^3)</f>
        <v/>
      </c>
      <c r="E20" s="87" t="str">
        <f>IF(B13="","",1/(1+B13)^4)</f>
        <v/>
      </c>
      <c r="F20" s="87" t="str">
        <f>IF(B13="","",1/(1+B13)^5)</f>
        <v/>
      </c>
      <c r="G20" s="87" t="str">
        <f>IF(B13="","",1/(1+B13)^5)</f>
        <v/>
      </c>
      <c r="H20" s="79"/>
    </row>
    <row r="21" spans="1:8" x14ac:dyDescent="0.3">
      <c r="A21" s="80" t="s">
        <v>215</v>
      </c>
      <c r="B21" s="87" t="str">
        <f>IF(OR(B18="",B20=""),"",B18*B20)</f>
        <v/>
      </c>
      <c r="C21" s="87" t="str">
        <f>IF(OR(C18="",C20=""),"",C18*C20)</f>
        <v/>
      </c>
      <c r="D21" s="87" t="str">
        <f>IF(OR(D18="",D20=""),"",D18*D20)</f>
        <v/>
      </c>
      <c r="E21" s="87" t="str">
        <f>IF(OR(E18="",E20=""),"",E18*E20)</f>
        <v/>
      </c>
      <c r="F21" s="87" t="str">
        <f>IF(OR(F18="",F20=""),"",F18*F20)</f>
        <v/>
      </c>
      <c r="G21" s="87" t="str">
        <f>IF(OR(G19="",G20=""),"",G19*G20)</f>
        <v/>
      </c>
      <c r="H21" s="79"/>
    </row>
    <row r="22" spans="1:8" x14ac:dyDescent="0.3">
      <c r="A22" s="80" t="s">
        <v>216</v>
      </c>
      <c r="B22" s="87" t="str">
        <f>IF(COUNT(B21:G21)=0,"",SUM(B21:G21))</f>
        <v/>
      </c>
      <c r="C22" s="87" t="str">
        <f>IF(OR(C18="",C21=""),"",C18*C21)</f>
        <v/>
      </c>
      <c r="D22" s="87" t="str">
        <f>IF(OR(D18="",D21=""),"",D18*D21)</f>
        <v/>
      </c>
      <c r="E22" s="87" t="str">
        <f>IF(OR(E18="",E21=""),"",E18*E21)</f>
        <v/>
      </c>
      <c r="F22" s="87" t="str">
        <f>IF(OR(F18="",F21=""),"",F18*F21)</f>
        <v/>
      </c>
      <c r="G22" s="87" t="str">
        <f>IF(OR(G20="",G21=""),"",G20*G21)</f>
        <v/>
      </c>
      <c r="H22" s="79"/>
    </row>
    <row r="23" spans="1:8" x14ac:dyDescent="0.3">
      <c r="A23" s="80" t="s">
        <v>216</v>
      </c>
      <c r="B23" s="87" t="str">
        <f>IF(COUNT(B22:G22)=0,"",SUM(B22:G22))</f>
        <v/>
      </c>
      <c r="C23" s="87"/>
      <c r="D23" s="87"/>
      <c r="E23" s="87"/>
      <c r="F23" s="87"/>
      <c r="G23" s="87"/>
      <c r="H23" s="79" t="str">
        <f>IF(OR(F21="",B13="",B22="",B13&lt;=B22),"",F21*(1+B22)/(B13-B22))</f>
        <v/>
      </c>
    </row>
    <row r="24" spans="1:8" x14ac:dyDescent="0.3">
      <c r="A24" s="80"/>
      <c r="B24" s="83"/>
      <c r="C24" s="83"/>
      <c r="D24" s="83"/>
      <c r="E24" s="83"/>
      <c r="F24" s="83"/>
      <c r="G24" s="83"/>
      <c r="H24" s="79"/>
    </row>
    <row r="25" spans="1:8" x14ac:dyDescent="0.3">
      <c r="A25" s="105" t="s">
        <v>218</v>
      </c>
      <c r="B25" s="105"/>
      <c r="C25" s="105"/>
      <c r="D25" s="105"/>
      <c r="E25" s="83"/>
      <c r="F25" s="83"/>
      <c r="G25" s="83"/>
      <c r="H25" s="79"/>
    </row>
    <row r="26" spans="1:8" x14ac:dyDescent="0.3">
      <c r="A26" s="80" t="s">
        <v>218</v>
      </c>
      <c r="B26" s="83" t="s">
        <v>219</v>
      </c>
      <c r="C26" s="80" t="s">
        <v>220</v>
      </c>
      <c r="D26" s="80" t="s">
        <v>221</v>
      </c>
      <c r="E26" s="80"/>
      <c r="F26" s="80"/>
      <c r="G26" s="80"/>
      <c r="H26" s="79"/>
    </row>
    <row r="27" spans="1:8" x14ac:dyDescent="0.3">
      <c r="A27" s="80" t="s">
        <v>222</v>
      </c>
      <c r="B27" s="89">
        <v>6</v>
      </c>
      <c r="C27" s="87" t="str">
        <f>IF(OR(Fin_Inputs_Entity1!F9="",B14=""),"",Fin_Inputs_Entity1!F9*B14)</f>
        <v/>
      </c>
      <c r="D27" s="87" t="str">
        <f>IF(OR(B27="",C27=""),"",B27*C27)</f>
        <v/>
      </c>
      <c r="E27" s="80"/>
      <c r="F27" s="80"/>
      <c r="G27" s="80"/>
      <c r="H27" s="79"/>
    </row>
    <row r="28" spans="1:8" x14ac:dyDescent="0.3">
      <c r="A28" s="82" t="s">
        <v>223</v>
      </c>
      <c r="B28" s="90">
        <v>1.5</v>
      </c>
      <c r="C28" s="91" t="str">
        <f>IF(OR(Fin_Inputs_Entity1!F5="",B14=""),"",Fin_Inputs_Entity1!F5*B14)</f>
        <v/>
      </c>
      <c r="D28" s="91" t="str">
        <f>IF(OR(B28="",C28=""),"",B28*C28)</f>
        <v/>
      </c>
      <c r="E28" s="82"/>
      <c r="F28" s="82"/>
      <c r="G28" s="82"/>
      <c r="H28" s="79"/>
    </row>
    <row r="29" spans="1:8" x14ac:dyDescent="0.3">
      <c r="A29" s="80" t="s">
        <v>224</v>
      </c>
      <c r="B29" s="89">
        <v>10</v>
      </c>
      <c r="C29" s="87" t="str">
        <f>IF(OR(Fin_Inputs_Entity1!F14="",B14=""),"",Fin_Inputs_Entity1!F14*B14)</f>
        <v/>
      </c>
      <c r="D29" s="87" t="str">
        <f>IF(OR(B29="",C29=""),"",B29*C29)</f>
        <v/>
      </c>
      <c r="E29" s="80"/>
      <c r="F29" s="80"/>
      <c r="G29" s="80"/>
      <c r="H29" s="79"/>
    </row>
    <row r="30" spans="1:8" x14ac:dyDescent="0.3">
      <c r="A30" s="80" t="s">
        <v>225</v>
      </c>
      <c r="B30" s="87" t="str">
        <f>IF(COUNT(D27:D29)=0,"",AVERAGE(D27:D29))</f>
        <v/>
      </c>
      <c r="C30" s="87"/>
      <c r="D30" s="87" t="str">
        <f>IF(COUNT(D27:D29)=0,"",AVERAGE(D27:D29))</f>
        <v/>
      </c>
      <c r="E30" s="80"/>
      <c r="F30" s="80"/>
      <c r="G30" s="80"/>
      <c r="H30" s="79"/>
    </row>
    <row r="31" spans="1:8" x14ac:dyDescent="0.3">
      <c r="A31" s="80" t="s">
        <v>384</v>
      </c>
      <c r="B31" s="83" t="str">
        <f>IF(OR(Entity_Ownership!F4="",FX_Conversion!B4=""),"WARNING: Missing Country/Currency Data",IF(OR(B5="",B6="",B7="",B8="",B14=""),"WARNING: Incomplete CAPM / WACC / FX Chain",""))</f>
        <v>WARNING: Missing Country/Currency Data</v>
      </c>
      <c r="C31" s="80"/>
      <c r="D31" s="80"/>
      <c r="E31" s="80"/>
      <c r="F31" s="80"/>
      <c r="G31" s="80"/>
      <c r="H31" s="79"/>
    </row>
    <row r="32" spans="1:8" x14ac:dyDescent="0.3">
      <c r="A32" s="80"/>
      <c r="B32" s="83"/>
      <c r="C32" s="80"/>
      <c r="D32" s="80"/>
      <c r="E32" s="80"/>
      <c r="F32" s="80"/>
      <c r="G32" s="80"/>
      <c r="H32" s="79"/>
    </row>
    <row r="33" spans="1:8" x14ac:dyDescent="0.3">
      <c r="A33" s="105" t="s">
        <v>155</v>
      </c>
      <c r="B33" s="106"/>
      <c r="C33" s="105"/>
      <c r="D33" s="80"/>
      <c r="E33" s="80"/>
      <c r="F33" s="80"/>
      <c r="G33" s="80"/>
      <c r="H33" s="79"/>
    </row>
    <row r="34" spans="1:8" x14ac:dyDescent="0.3">
      <c r="A34" s="80" t="s">
        <v>229</v>
      </c>
      <c r="B34" s="83" t="str">
        <f>B23</f>
        <v/>
      </c>
      <c r="C34" s="80" t="s">
        <v>623</v>
      </c>
      <c r="D34" s="80"/>
      <c r="E34" s="80"/>
      <c r="F34" s="80"/>
      <c r="G34" s="80"/>
      <c r="H34" s="79"/>
    </row>
    <row r="35" spans="1:8" x14ac:dyDescent="0.3">
      <c r="A35" s="80" t="s">
        <v>578</v>
      </c>
      <c r="B35" s="83" t="str">
        <f>B30</f>
        <v/>
      </c>
      <c r="C35" s="80" t="s">
        <v>623</v>
      </c>
      <c r="D35" s="80"/>
      <c r="E35" s="80"/>
      <c r="F35" s="80"/>
      <c r="G35" s="80"/>
      <c r="H35" s="79"/>
    </row>
    <row r="36" spans="1:8" x14ac:dyDescent="0.3">
      <c r="A36" s="80" t="s">
        <v>624</v>
      </c>
      <c r="B36" s="83" t="str">
        <f>IF(COUNT(B34:B35)=0,"",AVERAGE(B34:B35))</f>
        <v/>
      </c>
      <c r="C36" s="80" t="s">
        <v>623</v>
      </c>
      <c r="D36" s="80"/>
      <c r="E36" s="80"/>
      <c r="F36" s="80"/>
      <c r="G36" s="80"/>
      <c r="H36" s="79"/>
    </row>
    <row r="37" spans="1:8" x14ac:dyDescent="0.3">
      <c r="A37" s="80" t="s">
        <v>231</v>
      </c>
      <c r="B37" s="83" t="str">
        <f>IF(B36="","",B36*IF(Entity_Ownership!C4="",1,Entity_Ownership!C4))</f>
        <v/>
      </c>
      <c r="C37" s="80" t="s">
        <v>625</v>
      </c>
      <c r="D37" s="80"/>
      <c r="E37" s="80"/>
      <c r="F37" s="80"/>
      <c r="G37" s="80"/>
      <c r="H37" s="79"/>
    </row>
    <row r="38" spans="1:8" x14ac:dyDescent="0.3">
      <c r="A38" s="82"/>
      <c r="B38" s="84"/>
      <c r="C38" s="82"/>
      <c r="D38" s="82"/>
      <c r="E38" s="82"/>
      <c r="F38" s="82"/>
      <c r="G38" s="82"/>
      <c r="H38" s="79"/>
    </row>
    <row r="39" spans="1:8" x14ac:dyDescent="0.3">
      <c r="A39" s="105" t="s">
        <v>626</v>
      </c>
      <c r="B39" s="105"/>
      <c r="C39" s="105"/>
      <c r="D39" s="105"/>
      <c r="E39" s="105"/>
      <c r="F39" s="105"/>
      <c r="G39" s="105"/>
      <c r="H39" s="79"/>
    </row>
    <row r="40" spans="1:8" x14ac:dyDescent="0.3">
      <c r="A40" s="80" t="s">
        <v>627</v>
      </c>
      <c r="B40" s="85" t="s">
        <v>628</v>
      </c>
      <c r="C40" s="86" t="s">
        <v>629</v>
      </c>
      <c r="D40" s="86" t="s">
        <v>630</v>
      </c>
      <c r="E40" s="80"/>
      <c r="F40" s="80"/>
      <c r="G40" s="80"/>
      <c r="H40" s="79"/>
    </row>
    <row r="41" spans="1:8" x14ac:dyDescent="0.3">
      <c r="A41" s="80" t="s">
        <v>631</v>
      </c>
      <c r="B41" s="83" t="e">
        <f>IF(OR($B$13="",$B$19="",$F$18="",($B$13-0.01)&lt;=($B$19-0.01)),"",SUM($B$21:$F$21)+($F$18*(1+($B$19-0.01))/(($B$13-0.01)-($B$19-0.01)))/(1+($B$13-0.01))^5)</f>
        <v>#VALUE!</v>
      </c>
      <c r="C41" s="83" t="e">
        <f>IF(OR($B$13="",$B$19="",$F$18="",($B$13-0.01)&lt;=($B$19)),"",SUM($B$21:$F$21)+($F$18*(1+$B$19)/(($B$13-0.01)-$B$19))/(1+($B$13-0.01))^5)</f>
        <v>#VALUE!</v>
      </c>
      <c r="D41" s="83" t="e">
        <f>IF(OR($B$13="",$B$19="",$F$18="",($B$13-0.01)&lt;=($B$19+0.01)),"",SUM($B$21:$F$21)+($F$18*(1+($B$19+0.01))/(($B$13-0.01)-($B$19+0.01)))/(1+($B$13-0.01))^5)</f>
        <v>#VALUE!</v>
      </c>
      <c r="E41" s="80"/>
      <c r="F41" s="80"/>
      <c r="G41" s="80"/>
      <c r="H41" s="79"/>
    </row>
    <row r="42" spans="1:8" x14ac:dyDescent="0.3">
      <c r="A42" s="82" t="s">
        <v>632</v>
      </c>
      <c r="B42" s="84" t="str">
        <f>IF(OR($B$13="",$B$19="",$F$18="",($B$13)&lt;=($B$19-0.01)),"",SUM($B$21:$F$21)+($F$18*(1+($B$19-0.01))/($B$13-($B$19-0.01)))/(1+$B$13)^5)</f>
        <v/>
      </c>
      <c r="C42" s="84" t="str">
        <f>B22</f>
        <v/>
      </c>
      <c r="D42" s="84" t="str">
        <f>IF(OR($B$13="",$B$19="",$F$18="",($B$13)&lt;=($B$19+0.01)),"",SUM($B$21:$F$21)+($F$18*(1+($B$19+0.01))/($B$13-($B$19+0.01)))/(1+$B$13)^5)</f>
        <v/>
      </c>
      <c r="E42" s="82"/>
      <c r="F42" s="82"/>
      <c r="G42" s="82"/>
      <c r="H42" s="79"/>
    </row>
    <row r="43" spans="1:8" x14ac:dyDescent="0.3">
      <c r="A43" s="80" t="s">
        <v>633</v>
      </c>
      <c r="B43" s="83" t="e">
        <f>IF(OR($B$13="",$B$19="",$F$18="",($B$13+0.01)&lt;=($B$19-0.01)),"",SUM($B$21:$F$21)+($F$18*(1+($B$19-0.01))/(($B$13+0.01)-($B$19-0.01)))/(1+($B$13+0.01))^5)</f>
        <v>#VALUE!</v>
      </c>
      <c r="C43" s="83" t="e">
        <f>IF(OR($B$13="",$B$19="",$F$18="",($B$13+0.01)&lt;=($B$19)),"",SUM($B$21:$F$21)+($F$18*(1+$B$19)/(($B$13+0.01)-$B$19))/(1+($B$13+0.01))^5)</f>
        <v>#VALUE!</v>
      </c>
      <c r="D43" s="83" t="e">
        <f>IF(OR($B$13="",$B$19="",$F$18="",($B$13+0.01)&lt;=($B$19+0.01)),"",SUM($B$21:$F$21)+($F$18*(1+($B$19+0.01))/(($B$13+0.01)-($B$19+0.01)))/(1+($B$13+0.01))^5)</f>
        <v>#VALUE!</v>
      </c>
      <c r="E43" s="80"/>
      <c r="F43" s="80"/>
      <c r="G43" s="80"/>
      <c r="H43" s="79"/>
    </row>
    <row r="44" spans="1:8" x14ac:dyDescent="0.3">
      <c r="A44" s="80" t="s">
        <v>634</v>
      </c>
      <c r="B44" s="80" t="s">
        <v>635</v>
      </c>
      <c r="C44" s="80"/>
      <c r="D44" s="80"/>
      <c r="E44" s="80"/>
      <c r="F44" s="80"/>
      <c r="G44" s="80"/>
      <c r="H44" s="79"/>
    </row>
    <row r="45" spans="1:8" x14ac:dyDescent="0.3">
      <c r="A45" s="80" t="s">
        <v>384</v>
      </c>
      <c r="B45" s="83" t="str">
        <f>IF(OR(Entity_Ownership!F4="",Entity_Ownership!G4=""),"WARNING: Missing Country/Currency Data",IF(B13="","WARNING: Incomplete CAPM / WACC Chain",""))</f>
        <v>WARNING: Missing Country/Currency Data</v>
      </c>
      <c r="C45" s="80"/>
      <c r="D45" s="80"/>
      <c r="E45" s="80"/>
      <c r="F45" s="80"/>
      <c r="G45" s="80"/>
      <c r="H45" s="79"/>
    </row>
    <row r="46" spans="1:8" x14ac:dyDescent="0.3">
      <c r="A46" s="47"/>
      <c r="B46" s="47"/>
      <c r="C46" s="47"/>
      <c r="D46" s="47"/>
      <c r="E46" s="47"/>
      <c r="F46" s="47"/>
      <c r="G46" s="47"/>
      <c r="H46" s="46"/>
    </row>
  </sheetData>
  <mergeCells count="6">
    <mergeCell ref="A39:G39"/>
    <mergeCell ref="A1:G1"/>
    <mergeCell ref="A3:C3"/>
    <mergeCell ref="A16:G16"/>
    <mergeCell ref="A25:D25"/>
    <mergeCell ref="A33:C3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476B-6289-4D85-8308-528F97D5A9FF}">
  <dimension ref="A1:H45"/>
  <sheetViews>
    <sheetView workbookViewId="0"/>
  </sheetViews>
  <sheetFormatPr defaultRowHeight="14.4" x14ac:dyDescent="0.3"/>
  <cols>
    <col min="1" max="1" width="23.109375" bestFit="1" customWidth="1"/>
    <col min="2" max="2" width="47.88671875" bestFit="1" customWidth="1"/>
    <col min="3" max="3" width="27.109375" bestFit="1" customWidth="1"/>
    <col min="4" max="4" width="9.33203125" bestFit="1" customWidth="1"/>
    <col min="5" max="6" width="6" bestFit="1" customWidth="1"/>
    <col min="7" max="7" width="8.33203125" bestFit="1" customWidth="1"/>
  </cols>
  <sheetData>
    <row r="1" spans="1:7" x14ac:dyDescent="0.3">
      <c r="A1" s="107" t="s">
        <v>636</v>
      </c>
      <c r="B1" s="107"/>
      <c r="C1" s="107"/>
      <c r="D1" s="107"/>
      <c r="E1" s="107"/>
      <c r="F1" s="107"/>
      <c r="G1" s="107"/>
    </row>
    <row r="2" spans="1:7" x14ac:dyDescent="0.3">
      <c r="A2" s="48"/>
      <c r="B2" s="43"/>
      <c r="C2" s="48"/>
      <c r="D2" s="48"/>
      <c r="E2" s="48"/>
      <c r="F2" s="48"/>
      <c r="G2" s="48"/>
    </row>
    <row r="3" spans="1:7" x14ac:dyDescent="0.3">
      <c r="A3" s="107" t="s">
        <v>190</v>
      </c>
      <c r="B3" s="107"/>
      <c r="C3" s="107"/>
      <c r="D3" s="49"/>
      <c r="E3" s="49"/>
      <c r="F3" s="49"/>
      <c r="G3" s="49"/>
    </row>
    <row r="4" spans="1:7" x14ac:dyDescent="0.3">
      <c r="A4" s="48" t="s">
        <v>16</v>
      </c>
      <c r="B4" s="48" t="s">
        <v>91</v>
      </c>
      <c r="C4" s="48" t="s">
        <v>90</v>
      </c>
      <c r="D4" s="48"/>
      <c r="E4" s="48"/>
      <c r="F4" s="48"/>
      <c r="G4" s="48"/>
    </row>
    <row r="5" spans="1:7" x14ac:dyDescent="0.3">
      <c r="A5" s="48" t="s">
        <v>191</v>
      </c>
      <c r="B5" s="50" t="str">
        <f>IF(AND(Entity_Ownership!$F$5&lt;&gt;"",UPPER(Entity_Ownership!$F$5)&lt;&gt;"UNITED STATES",COUNTIFS(Global_Rates!$B$4:$B$73,"Entity 2",Global_Rates!$A$4:$A$73,"Local 10-Year Government Bond Yield",Global_Rates!$F$4:$F$73,"&lt;&gt;")&gt;0),SUMIFS(Global_Rates!$F$4:$F$73,Global_Rates!$B$4:$B$73,"Entity 2",Global_Rates!$A$4:$A$73,"Local 10-Year Government Bond Yield"),IF(COUNTIFS(Global_Rates!$B$4:$B$73,"Entity 2",Global_Rates!$A$4:$A$73,"U.S. 10-Year Treasury",Global_Rates!$F$4:$F$73,"&lt;&gt;")&gt;0,SUMIFS(Global_Rates!$F$4:$F$73,Global_Rates!$B$4:$B$73,"Entity 2",Global_Rates!$A$4:$A$73,"U.S. 10-Year Treasury"),""))</f>
        <v/>
      </c>
      <c r="C5" s="48" t="s">
        <v>614</v>
      </c>
      <c r="D5" s="48"/>
      <c r="E5" s="48"/>
      <c r="F5" s="48"/>
      <c r="G5" s="48"/>
    </row>
    <row r="6" spans="1:7" x14ac:dyDescent="0.3">
      <c r="A6" s="48" t="s">
        <v>193</v>
      </c>
      <c r="B6" s="50" t="str">
        <f>IF(COUNTIFS(Global_Rates!$B$4:$B$73,"Entity 2",Global_Rates!$A$4:$A$73,"Beta",Global_Rates!$F$4:$F$73,"&lt;&gt;")&gt;0,SUMIFS(Global_Rates!$F$4:$F$73,Global_Rates!$B$4:$B$73,"Entity 2",Global_Rates!$A$4:$A$73,"Beta"),"")</f>
        <v/>
      </c>
      <c r="C6" s="48" t="s">
        <v>615</v>
      </c>
      <c r="D6" s="48"/>
      <c r="E6" s="48"/>
      <c r="F6" s="48"/>
      <c r="G6" s="48"/>
    </row>
    <row r="7" spans="1:7" x14ac:dyDescent="0.3">
      <c r="A7" s="48" t="s">
        <v>195</v>
      </c>
      <c r="B7" s="50" t="str">
        <f>IF(AND(Entity_Ownership!$F$5&lt;&gt;"",UPPER(Entity_Ownership!$F$5)&lt;&gt;"UNITED STATES",COUNTIFS(Global_Rates!$B$4:$B$73,"Entity 2",Global_Rates!$A$4:$A$73,"Local Market Risk Premium",Global_Rates!$F$4:$F$73,"&lt;&gt;")&gt;0),SUMIFS(Global_Rates!$F$4:$F$73,Global_Rates!$B$4:$B$73,"Entity 2",Global_Rates!$A$4:$A$73,"Local Market Risk Premium"),IF(COUNTIFS(Global_Rates!$B$4:$B$73,"Entity 2",Global_Rates!$A$4:$A$73,"U.S. Market Risk Premium",Global_Rates!$F$4:$F$73,"&lt;&gt;")&gt;0,SUMIFS(Global_Rates!$F$4:$F$73,Global_Rates!$B$4:$B$73,"Entity 2",Global_Rates!$A$4:$A$73,"U.S. Market Risk Premium"),""))</f>
        <v/>
      </c>
      <c r="C7" s="48" t="s">
        <v>614</v>
      </c>
      <c r="D7" s="48"/>
      <c r="E7" s="48"/>
      <c r="F7" s="48"/>
      <c r="G7" s="48"/>
    </row>
    <row r="8" spans="1:7" x14ac:dyDescent="0.3">
      <c r="A8" s="48" t="s">
        <v>197</v>
      </c>
      <c r="B8" s="50" t="str">
        <f>IF(AND(Entity_Ownership!$F$5&lt;&gt;"",UPPER(Entity_Ownership!$F$5)&lt;&gt;"UNITED STATES",COUNTIFS(Global_Rates!$B$4:$B$73,"Entity 2",Global_Rates!$A$4:$A$73,"Local Corporate Bond Yield",Global_Rates!$F$4:$F$73,"&lt;&gt;")&gt;0),SUMIFS(Global_Rates!$F$4:$F$73,Global_Rates!$B$4:$B$73,"Entity 2",Global_Rates!$A$4:$A$73,"Local Corporate Bond Yield"),IF(COUNTIFS(Global_Rates!$B$4:$B$73,"Entity 2",Global_Rates!$A$4:$A$73,"U.S. Corporate Bond Yield",Global_Rates!$F$4:$F$73,"&lt;&gt;")&gt;0,SUMIFS(Global_Rates!$F$4:$F$73,Global_Rates!$B$4:$B$73,"Entity 2",Global_Rates!$A$4:$A$73,"U.S. Corporate Bond Yield"),""))</f>
        <v/>
      </c>
      <c r="C8" s="48" t="s">
        <v>616</v>
      </c>
      <c r="D8" s="48"/>
      <c r="E8" s="48"/>
      <c r="F8" s="48"/>
      <c r="G8" s="48"/>
    </row>
    <row r="9" spans="1:7" x14ac:dyDescent="0.3">
      <c r="A9" s="48" t="s">
        <v>199</v>
      </c>
      <c r="B9" s="50" t="str">
        <f>IF(OR(Fin_Inputs_Entity2!F13="",Fin_Inputs_Entity2!F11="",Fin_Inputs_Entity2!F11=0),"",ABS(Fin_Inputs_Entity2!F13/Fin_Inputs_Entity2!F11))</f>
        <v/>
      </c>
      <c r="C9" s="48" t="s">
        <v>617</v>
      </c>
      <c r="D9" s="48"/>
      <c r="E9" s="48"/>
      <c r="F9" s="48"/>
      <c r="G9" s="48"/>
    </row>
    <row r="10" spans="1:7" x14ac:dyDescent="0.3">
      <c r="A10" s="48" t="s">
        <v>201</v>
      </c>
      <c r="B10" s="50" t="str">
        <f>IF((N(Fin_Inputs_Entity2!F26)+N(Fin_Inputs_Entity2!F27)+N(Fin_Inputs_Entity2!F29))=0,"",(N(Fin_Inputs_Entity2!F26)+N(Fin_Inputs_Entity2!F27))/(N(Fin_Inputs_Entity2!F26)+N(Fin_Inputs_Entity2!F27)+N(Fin_Inputs_Entity2!F29)))</f>
        <v/>
      </c>
      <c r="C10" s="48" t="s">
        <v>618</v>
      </c>
      <c r="D10" s="48"/>
      <c r="E10" s="48"/>
      <c r="F10" s="48"/>
      <c r="G10" s="48"/>
    </row>
    <row r="11" spans="1:7" x14ac:dyDescent="0.3">
      <c r="A11" s="48" t="s">
        <v>203</v>
      </c>
      <c r="B11" s="50" t="str">
        <f>IF((N(Fin_Inputs_Entity2!F26)+N(Fin_Inputs_Entity2!F27)+N(Fin_Inputs_Entity2!F29))=0,"",N(Fin_Inputs_Entity2!F29)/(N(Fin_Inputs_Entity2!F26)+N(Fin_Inputs_Entity2!F27)+N(Fin_Inputs_Entity2!F29)))</f>
        <v/>
      </c>
      <c r="C11" s="48" t="s">
        <v>619</v>
      </c>
      <c r="D11" s="48"/>
      <c r="E11" s="48"/>
      <c r="F11" s="48"/>
      <c r="G11" s="48"/>
    </row>
    <row r="12" spans="1:7" x14ac:dyDescent="0.3">
      <c r="A12" s="48" t="s">
        <v>205</v>
      </c>
      <c r="B12" s="50" t="str">
        <f>IF(COUNT(B5:B7)&lt;3,"",B5+B6*B7)</f>
        <v/>
      </c>
      <c r="C12" s="48" t="s">
        <v>452</v>
      </c>
      <c r="D12" s="48"/>
      <c r="E12" s="48"/>
      <c r="F12" s="48"/>
      <c r="G12" s="48"/>
    </row>
    <row r="13" spans="1:7" x14ac:dyDescent="0.3">
      <c r="A13" s="48" t="s">
        <v>207</v>
      </c>
      <c r="B13" s="50" t="str">
        <f>IF(COUNT(B8:B12)&lt;5,"",(B11*B12)+(B10*B8*(1-B9)))</f>
        <v/>
      </c>
      <c r="C13" s="48" t="s">
        <v>620</v>
      </c>
      <c r="D13" s="48"/>
      <c r="E13" s="48"/>
      <c r="F13" s="48"/>
      <c r="G13" s="48"/>
    </row>
    <row r="14" spans="1:7" x14ac:dyDescent="0.3">
      <c r="A14" s="48" t="s">
        <v>621</v>
      </c>
      <c r="B14" s="50" t="str">
        <f>IF(FX_Rate_Entity2="","",FX_Rate_Entity2)</f>
        <v/>
      </c>
      <c r="C14" s="48" t="s">
        <v>622</v>
      </c>
      <c r="D14" s="48"/>
      <c r="E14" s="48"/>
      <c r="F14" s="48"/>
      <c r="G14" s="48"/>
    </row>
    <row r="15" spans="1:7" x14ac:dyDescent="0.3">
      <c r="A15" s="48" t="s">
        <v>209</v>
      </c>
      <c r="B15" s="50"/>
      <c r="C15" s="48"/>
      <c r="D15" s="48"/>
      <c r="E15" s="48"/>
      <c r="F15" s="48"/>
      <c r="G15" s="48"/>
    </row>
    <row r="16" spans="1:7" x14ac:dyDescent="0.3">
      <c r="A16" s="107" t="s">
        <v>155</v>
      </c>
      <c r="B16" s="108"/>
      <c r="C16" s="107"/>
      <c r="D16" s="107"/>
      <c r="E16" s="107"/>
      <c r="F16" s="107"/>
      <c r="G16" s="107"/>
    </row>
    <row r="17" spans="1:8" x14ac:dyDescent="0.3">
      <c r="A17" s="49" t="s">
        <v>211</v>
      </c>
      <c r="B17" s="51" t="s">
        <v>108</v>
      </c>
      <c r="C17" s="51" t="s">
        <v>109</v>
      </c>
      <c r="D17" s="51" t="s">
        <v>110</v>
      </c>
      <c r="E17" s="51" t="s">
        <v>111</v>
      </c>
      <c r="F17" s="51" t="s">
        <v>112</v>
      </c>
      <c r="G17" s="51" t="s">
        <v>210</v>
      </c>
    </row>
    <row r="18" spans="1:8" x14ac:dyDescent="0.3">
      <c r="A18" s="48" t="s">
        <v>212</v>
      </c>
      <c r="B18" s="50" t="str">
        <f>IF(OR(Fin_Inputs_Entity2!B37="",B14=""),"",Fin_Inputs_Entity2!B37*B14*(1+N(Scenario_Analysis!$E$4)-N(Scenario_Analysis!$E$6)-N(Scenario_Analysis!$E$7)))</f>
        <v/>
      </c>
      <c r="C18" s="50" t="str">
        <f>IF(OR(Fin_Inputs_Entity2!C37="",B14=""),"",Fin_Inputs_Entity2!C37*B14*(1+N(Scenario_Analysis!$E$4)-N(Scenario_Analysis!$E$6)-N(Scenario_Analysis!$E$7)))</f>
        <v/>
      </c>
      <c r="D18" s="50" t="str">
        <f>IF(OR(Fin_Inputs_Entity2!D37="",B14=""),"",Fin_Inputs_Entity2!D37*B14*(1+N(Scenario_Analysis!$E$4)-N(Scenario_Analysis!$E$6)-N(Scenario_Analysis!$E$7)))</f>
        <v/>
      </c>
      <c r="E18" s="50" t="str">
        <f>IF(OR(Fin_Inputs_Entity2!E37="",B14=""),"",Fin_Inputs_Entity2!E37*B14*(1+N(Scenario_Analysis!$E$4)-N(Scenario_Analysis!$E$6)-N(Scenario_Analysis!$E$7)))</f>
        <v/>
      </c>
      <c r="F18" s="50" t="str">
        <f>IF(OR(Fin_Inputs_Entity2!F37="",B14=""),"",Fin_Inputs_Entity2!F37*B14*(1+N(Scenario_Analysis!$E$4)-N(Scenario_Analysis!$E$6)-N(Scenario_Analysis!$E$7)))</f>
        <v/>
      </c>
      <c r="G18" s="50"/>
    </row>
    <row r="19" spans="1:8" x14ac:dyDescent="0.3">
      <c r="A19" s="48" t="s">
        <v>213</v>
      </c>
      <c r="B19" s="52">
        <v>0.02</v>
      </c>
      <c r="C19" s="52"/>
      <c r="D19" s="52"/>
      <c r="E19" s="52"/>
      <c r="F19" s="52"/>
      <c r="G19" s="50" t="str">
        <f>IF(OR(F18="",B13="",B19="",B13&lt;=B19),"",F18*(1+B19)/(B13-B19))</f>
        <v/>
      </c>
    </row>
    <row r="20" spans="1:8" x14ac:dyDescent="0.3">
      <c r="A20" s="48" t="s">
        <v>214</v>
      </c>
      <c r="B20" s="50" t="str">
        <f>IF(B13="","",1/(1+B13)^1)</f>
        <v/>
      </c>
      <c r="C20" s="50" t="str">
        <f>IF(B13="","",1/(1+B13)^2)</f>
        <v/>
      </c>
      <c r="D20" s="50" t="str">
        <f>IF(B13="","",1/(1+B13)^3)</f>
        <v/>
      </c>
      <c r="E20" s="50" t="str">
        <f>IF(B13="","",1/(1+B13)^4)</f>
        <v/>
      </c>
      <c r="F20" s="50" t="str">
        <f>IF(B13="","",1/(1+B13)^5)</f>
        <v/>
      </c>
      <c r="G20" s="50" t="str">
        <f>IF(B13="","",1/(1+B13)^5)</f>
        <v/>
      </c>
    </row>
    <row r="21" spans="1:8" x14ac:dyDescent="0.3">
      <c r="A21" s="48" t="s">
        <v>215</v>
      </c>
      <c r="B21" s="50" t="str">
        <f>IF(OR(B18="",B20=""),"",B18*B20)</f>
        <v/>
      </c>
      <c r="C21" s="50" t="str">
        <f>IF(OR(C18="",C20=""),"",C18*C20)</f>
        <v/>
      </c>
      <c r="D21" s="50" t="str">
        <f>IF(OR(D18="",D20=""),"",D18*D20)</f>
        <v/>
      </c>
      <c r="E21" s="50" t="str">
        <f>IF(OR(E18="",E20=""),"",E18*E20)</f>
        <v/>
      </c>
      <c r="F21" s="50" t="str">
        <f>IF(OR(F18="",F20=""),"",F18*F20)</f>
        <v/>
      </c>
      <c r="G21" s="50" t="str">
        <f>IF(OR(G19="",G20=""),"",G19*G20)</f>
        <v/>
      </c>
    </row>
    <row r="22" spans="1:8" x14ac:dyDescent="0.3">
      <c r="A22" s="48" t="s">
        <v>216</v>
      </c>
      <c r="B22" s="50" t="str">
        <f>IF(COUNT(B21:G21)=0,"",SUM(B21:G21))</f>
        <v/>
      </c>
      <c r="C22" s="50" t="str">
        <f>IF(OR(C18="",C21=""),"",C18*C21)</f>
        <v/>
      </c>
      <c r="D22" s="50" t="str">
        <f>IF(OR(D18="",D21=""),"",D18*D21)</f>
        <v/>
      </c>
      <c r="E22" s="50" t="str">
        <f>IF(OR(E18="",E21=""),"",E18*E21)</f>
        <v/>
      </c>
      <c r="F22" s="50" t="str">
        <f>IF(OR(F18="",F21=""),"",F18*F21)</f>
        <v/>
      </c>
      <c r="G22" s="50" t="str">
        <f>IF(OR(G20="",G21=""),"",G20*G21)</f>
        <v/>
      </c>
    </row>
    <row r="23" spans="1:8" x14ac:dyDescent="0.3">
      <c r="A23" s="48" t="s">
        <v>216</v>
      </c>
      <c r="B23" s="50" t="str">
        <f>IF(COUNT(B22:G22)=0,"",SUM(B22:G22))</f>
        <v/>
      </c>
      <c r="C23" s="50"/>
      <c r="D23" s="50"/>
      <c r="E23" s="50"/>
      <c r="F23" s="50"/>
      <c r="G23" s="50"/>
      <c r="H23" t="str">
        <f>IF(OR(F21="",B13="",B22="",B13&lt;=B22),"",F21*(1+B22)/(B13-B22))</f>
        <v/>
      </c>
    </row>
    <row r="24" spans="1:8" x14ac:dyDescent="0.3">
      <c r="A24" s="48"/>
      <c r="B24" s="50"/>
      <c r="C24" s="50"/>
      <c r="D24" s="50"/>
      <c r="E24" s="50"/>
      <c r="F24" s="50"/>
      <c r="G24" s="50"/>
    </row>
    <row r="25" spans="1:8" x14ac:dyDescent="0.3">
      <c r="A25" s="107" t="s">
        <v>218</v>
      </c>
      <c r="B25" s="107"/>
      <c r="C25" s="107"/>
      <c r="D25" s="107"/>
      <c r="E25" s="50"/>
      <c r="F25" s="50"/>
      <c r="G25" s="50"/>
    </row>
    <row r="26" spans="1:8" x14ac:dyDescent="0.3">
      <c r="A26" s="48" t="s">
        <v>218</v>
      </c>
      <c r="B26" s="50" t="s">
        <v>219</v>
      </c>
      <c r="C26" s="48" t="s">
        <v>220</v>
      </c>
      <c r="D26" s="48" t="s">
        <v>221</v>
      </c>
      <c r="E26" s="48"/>
      <c r="F26" s="48"/>
      <c r="G26" s="48"/>
    </row>
    <row r="27" spans="1:8" x14ac:dyDescent="0.3">
      <c r="A27" s="48" t="s">
        <v>222</v>
      </c>
      <c r="B27" s="43">
        <v>6</v>
      </c>
      <c r="C27" s="50" t="str">
        <f>IF(OR(Fin_Inputs_Entity2!F9="",B14=""),"",Fin_Inputs_Entity2!F9*B14)</f>
        <v/>
      </c>
      <c r="D27" s="50" t="str">
        <f>IF(OR(B27="",C27=""),"",B27*C27)</f>
        <v/>
      </c>
      <c r="E27" s="48"/>
      <c r="F27" s="48"/>
      <c r="G27" s="48"/>
    </row>
    <row r="28" spans="1:8" x14ac:dyDescent="0.3">
      <c r="A28" s="49" t="s">
        <v>223</v>
      </c>
      <c r="B28" s="53">
        <v>1.5</v>
      </c>
      <c r="C28" s="51" t="str">
        <f>IF(OR(Fin_Inputs_Entity2!F5="",B14=""),"",Fin_Inputs_Entity2!F5*B14)</f>
        <v/>
      </c>
      <c r="D28" s="51" t="str">
        <f>IF(OR(B28="",C28=""),"",B28*C28)</f>
        <v/>
      </c>
      <c r="E28" s="49"/>
      <c r="F28" s="49"/>
      <c r="G28" s="49"/>
    </row>
    <row r="29" spans="1:8" x14ac:dyDescent="0.3">
      <c r="A29" s="48" t="s">
        <v>224</v>
      </c>
      <c r="B29" s="43">
        <v>10</v>
      </c>
      <c r="C29" s="50" t="str">
        <f>IF(OR(Fin_Inputs_Entity2!F14="",B14=""),"",Fin_Inputs_Entity2!F14*B14)</f>
        <v/>
      </c>
      <c r="D29" s="50" t="str">
        <f>IF(OR(B29="",C29=""),"",B29*C29)</f>
        <v/>
      </c>
      <c r="E29" s="48"/>
      <c r="F29" s="48"/>
      <c r="G29" s="48"/>
    </row>
    <row r="30" spans="1:8" x14ac:dyDescent="0.3">
      <c r="A30" s="48" t="s">
        <v>225</v>
      </c>
      <c r="B30" s="50" t="str">
        <f>IF(COUNT(D27:D29)=0,"",AVERAGE(D27:D29))</f>
        <v/>
      </c>
      <c r="C30" s="50"/>
      <c r="D30" s="50" t="str">
        <f>IF(COUNT(D27:D29)=0,"",AVERAGE(D27:D29))</f>
        <v/>
      </c>
      <c r="E30" s="48"/>
      <c r="F30" s="48"/>
      <c r="G30" s="48"/>
    </row>
    <row r="31" spans="1:8" x14ac:dyDescent="0.3">
      <c r="A31" s="48" t="s">
        <v>384</v>
      </c>
      <c r="B31" s="50" t="str">
        <f>IF(OR(Entity_Ownership!F5="",FX_Conversion!B5=""),"WARNING: Missing Country/Currency Data",IF(OR(B5="",B6="",B7="",B8="",B14=""),"WARNING: Incomplete CAPM / WACC / FX Chain",""))</f>
        <v>WARNING: Missing Country/Currency Data</v>
      </c>
      <c r="C31" s="48"/>
      <c r="D31" s="48"/>
      <c r="E31" s="48"/>
      <c r="F31" s="48"/>
      <c r="G31" s="48"/>
    </row>
    <row r="32" spans="1:8" x14ac:dyDescent="0.3">
      <c r="A32" s="48"/>
      <c r="B32" s="50"/>
      <c r="C32" s="48"/>
      <c r="D32" s="48"/>
      <c r="E32" s="48"/>
      <c r="F32" s="48"/>
      <c r="G32" s="48"/>
    </row>
    <row r="33" spans="1:7" x14ac:dyDescent="0.3">
      <c r="A33" s="107" t="s">
        <v>155</v>
      </c>
      <c r="B33" s="108"/>
      <c r="C33" s="107"/>
      <c r="D33" s="48"/>
      <c r="E33" s="48"/>
      <c r="F33" s="48"/>
      <c r="G33" s="48"/>
    </row>
    <row r="34" spans="1:7" x14ac:dyDescent="0.3">
      <c r="A34" s="48" t="s">
        <v>229</v>
      </c>
      <c r="B34" s="50" t="str">
        <f>B23</f>
        <v/>
      </c>
      <c r="C34" s="48" t="s">
        <v>623</v>
      </c>
      <c r="D34" s="48"/>
      <c r="E34" s="48"/>
      <c r="F34" s="48"/>
      <c r="G34" s="48"/>
    </row>
    <row r="35" spans="1:7" x14ac:dyDescent="0.3">
      <c r="A35" s="48" t="s">
        <v>578</v>
      </c>
      <c r="B35" s="50" t="str">
        <f>B30</f>
        <v/>
      </c>
      <c r="C35" s="48" t="s">
        <v>623</v>
      </c>
      <c r="D35" s="48"/>
      <c r="E35" s="48"/>
      <c r="F35" s="48"/>
      <c r="G35" s="48"/>
    </row>
    <row r="36" spans="1:7" x14ac:dyDescent="0.3">
      <c r="A36" s="48" t="s">
        <v>624</v>
      </c>
      <c r="B36" s="50" t="str">
        <f>IF(COUNT(B34:B35)=0,"",AVERAGE(B34:B35))</f>
        <v/>
      </c>
      <c r="C36" s="48" t="s">
        <v>623</v>
      </c>
      <c r="D36" s="48"/>
      <c r="E36" s="48"/>
      <c r="F36" s="48"/>
      <c r="G36" s="48"/>
    </row>
    <row r="37" spans="1:7" x14ac:dyDescent="0.3">
      <c r="A37" s="48" t="s">
        <v>231</v>
      </c>
      <c r="B37" s="50" t="str">
        <f>IF(B36="","",B36*IF(Entity_Ownership!C5="",1,Entity_Ownership!C5))</f>
        <v/>
      </c>
      <c r="C37" s="48" t="s">
        <v>625</v>
      </c>
      <c r="D37" s="48"/>
      <c r="E37" s="48"/>
      <c r="F37" s="48"/>
      <c r="G37" s="48"/>
    </row>
    <row r="38" spans="1:7" x14ac:dyDescent="0.3">
      <c r="A38" s="49"/>
      <c r="B38" s="51"/>
      <c r="C38" s="49"/>
      <c r="D38" s="49"/>
      <c r="E38" s="49"/>
      <c r="F38" s="49"/>
      <c r="G38" s="49"/>
    </row>
    <row r="39" spans="1:7" x14ac:dyDescent="0.3">
      <c r="A39" s="107" t="s">
        <v>626</v>
      </c>
      <c r="B39" s="107"/>
      <c r="C39" s="107"/>
      <c r="D39" s="107"/>
      <c r="E39" s="107"/>
      <c r="F39" s="107"/>
      <c r="G39" s="107"/>
    </row>
    <row r="40" spans="1:7" x14ac:dyDescent="0.3">
      <c r="A40" s="48" t="s">
        <v>627</v>
      </c>
      <c r="B40" s="54" t="s">
        <v>628</v>
      </c>
      <c r="C40" s="55" t="s">
        <v>629</v>
      </c>
      <c r="D40" s="55" t="s">
        <v>630</v>
      </c>
      <c r="E40" s="48"/>
      <c r="F40" s="48"/>
      <c r="G40" s="48"/>
    </row>
    <row r="41" spans="1:7" x14ac:dyDescent="0.3">
      <c r="A41" s="48" t="s">
        <v>631</v>
      </c>
      <c r="B41" s="50" t="e">
        <f>IF(OR($B$13="",$B$19="",$F$18="",($B$13-0.01)&lt;=($B$19-0.01)),"",SUM($B$21:$F$21)+($F$18*(1+($B$19-0.01))/(($B$13-0.01)-($B$19-0.01)))/(1+($B$13-0.01))^5)</f>
        <v>#VALUE!</v>
      </c>
      <c r="C41" s="50" t="e">
        <f>IF(OR($B$13="",$B$19="",$F$18="",($B$13-0.01)&lt;=($B$19)),"",SUM($B$21:$F$21)+($F$18*(1+$B$19)/(($B$13-0.01)-$B$19))/(1+($B$13-0.01))^5)</f>
        <v>#VALUE!</v>
      </c>
      <c r="D41" s="50" t="e">
        <f>IF(OR($B$13="",$B$19="",$F$18="",($B$13-0.01)&lt;=($B$19+0.01)),"",SUM($B$21:$F$21)+($F$18*(1+($B$19+0.01))/(($B$13-0.01)-($B$19+0.01)))/(1+($B$13-0.01))^5)</f>
        <v>#VALUE!</v>
      </c>
      <c r="E41" s="48"/>
      <c r="F41" s="48"/>
      <c r="G41" s="48"/>
    </row>
    <row r="42" spans="1:7" x14ac:dyDescent="0.3">
      <c r="A42" s="49" t="s">
        <v>632</v>
      </c>
      <c r="B42" s="51" t="str">
        <f>IF(OR($B$13="",$B$19="",$F$18="",($B$13)&lt;=($B$19-0.01)),"",SUM($B$21:$F$21)+($F$18*(1+($B$19-0.01))/($B$13-($B$19-0.01)))/(1+$B$13)^5)</f>
        <v/>
      </c>
      <c r="C42" s="51" t="str">
        <f>B22</f>
        <v/>
      </c>
      <c r="D42" s="51" t="str">
        <f>IF(OR($B$13="",$B$19="",$F$18="",($B$13)&lt;=($B$19+0.01)),"",SUM($B$21:$F$21)+($F$18*(1+($B$19+0.01))/($B$13-($B$19+0.01)))/(1+$B$13)^5)</f>
        <v/>
      </c>
      <c r="E42" s="49"/>
      <c r="F42" s="49"/>
      <c r="G42" s="49"/>
    </row>
    <row r="43" spans="1:7" x14ac:dyDescent="0.3">
      <c r="A43" s="48" t="s">
        <v>633</v>
      </c>
      <c r="B43" s="50" t="e">
        <f>IF(OR($B$13="",$B$19="",$F$18="",($B$13+0.01)&lt;=($B$19-0.01)),"",SUM($B$21:$F$21)+($F$18*(1+($B$19-0.01))/(($B$13+0.01)-($B$19-0.01)))/(1+($B$13+0.01))^5)</f>
        <v>#VALUE!</v>
      </c>
      <c r="C43" s="50" t="e">
        <f>IF(OR($B$13="",$B$19="",$F$18="",($B$13+0.01)&lt;=($B$19)),"",SUM($B$21:$F$21)+($F$18*(1+$B$19)/(($B$13+0.01)-$B$19))/(1+($B$13+0.01))^5)</f>
        <v>#VALUE!</v>
      </c>
      <c r="D43" s="50" t="e">
        <f>IF(OR($B$13="",$B$19="",$F$18="",($B$13+0.01)&lt;=($B$19+0.01)),"",SUM($B$21:$F$21)+($F$18*(1+($B$19+0.01))/(($B$13+0.01)-($B$19+0.01)))/(1+($B$13+0.01))^5)</f>
        <v>#VALUE!</v>
      </c>
      <c r="E43" s="48"/>
      <c r="F43" s="48"/>
      <c r="G43" s="48"/>
    </row>
    <row r="44" spans="1:7" x14ac:dyDescent="0.3">
      <c r="A44" s="48" t="s">
        <v>634</v>
      </c>
      <c r="B44" s="48" t="s">
        <v>637</v>
      </c>
      <c r="C44" s="48"/>
      <c r="D44" s="48"/>
      <c r="E44" s="48"/>
      <c r="F44" s="48"/>
      <c r="G44" s="48"/>
    </row>
    <row r="45" spans="1:7" x14ac:dyDescent="0.3">
      <c r="A45" s="48" t="s">
        <v>384</v>
      </c>
      <c r="B45" s="50" t="str">
        <f>IF(OR(Entity_Ownership!F5="",Entity_Ownership!G5=""),"WARNING: Missing Country/Currency Data",IF(B13="","WARNING: Incomplete CAPM / WACC Chain",""))</f>
        <v>WARNING: Missing Country/Currency Data</v>
      </c>
      <c r="C45" s="48"/>
      <c r="D45" s="48"/>
      <c r="E45" s="48"/>
      <c r="F45" s="48"/>
      <c r="G45" s="48"/>
    </row>
  </sheetData>
  <mergeCells count="6">
    <mergeCell ref="A39:G39"/>
    <mergeCell ref="A1:G1"/>
    <mergeCell ref="A3:C3"/>
    <mergeCell ref="A16:G16"/>
    <mergeCell ref="A25:D25"/>
    <mergeCell ref="A33:C3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DE64-29AD-4692-BF16-E3F0658235B4}">
  <dimension ref="A1:H45"/>
  <sheetViews>
    <sheetView workbookViewId="0"/>
  </sheetViews>
  <sheetFormatPr defaultRowHeight="14.4" x14ac:dyDescent="0.3"/>
  <cols>
    <col min="1" max="1" width="23.109375" bestFit="1" customWidth="1"/>
    <col min="2" max="2" width="47.88671875" bestFit="1" customWidth="1"/>
    <col min="3" max="3" width="27.109375" bestFit="1" customWidth="1"/>
    <col min="4" max="4" width="9.33203125" bestFit="1" customWidth="1"/>
    <col min="5" max="6" width="6" bestFit="1" customWidth="1"/>
    <col min="7" max="7" width="8.33203125" bestFit="1" customWidth="1"/>
  </cols>
  <sheetData>
    <row r="1" spans="1:7" x14ac:dyDescent="0.3">
      <c r="A1" s="107" t="s">
        <v>638</v>
      </c>
      <c r="B1" s="107"/>
      <c r="C1" s="107"/>
      <c r="D1" s="107"/>
      <c r="E1" s="107"/>
      <c r="F1" s="107"/>
      <c r="G1" s="107"/>
    </row>
    <row r="2" spans="1:7" x14ac:dyDescent="0.3">
      <c r="A2" s="48"/>
      <c r="B2" s="43"/>
      <c r="C2" s="48"/>
      <c r="D2" s="48"/>
      <c r="E2" s="48"/>
      <c r="F2" s="48"/>
      <c r="G2" s="48"/>
    </row>
    <row r="3" spans="1:7" x14ac:dyDescent="0.3">
      <c r="A3" s="107" t="s">
        <v>190</v>
      </c>
      <c r="B3" s="107"/>
      <c r="C3" s="107"/>
      <c r="D3" s="49"/>
      <c r="E3" s="49"/>
      <c r="F3" s="49"/>
      <c r="G3" s="49"/>
    </row>
    <row r="4" spans="1:7" x14ac:dyDescent="0.3">
      <c r="A4" s="48" t="s">
        <v>16</v>
      </c>
      <c r="B4" s="48" t="s">
        <v>91</v>
      </c>
      <c r="C4" s="48" t="s">
        <v>90</v>
      </c>
      <c r="D4" s="48"/>
      <c r="E4" s="48"/>
      <c r="F4" s="48"/>
      <c r="G4" s="48"/>
    </row>
    <row r="5" spans="1:7" x14ac:dyDescent="0.3">
      <c r="A5" s="48" t="s">
        <v>191</v>
      </c>
      <c r="B5" s="50" t="str">
        <f>IF(AND(Entity_Ownership!$F$6&lt;&gt;"",UPPER(Entity_Ownership!$F$6)&lt;&gt;"UNITED STATES",COUNTIFS(Global_Rates!$B$4:$B$73,"Entity 3",Global_Rates!$A$4:$A$73,"Local 10-Year Government Bond Yield",Global_Rates!$F$4:$F$73,"&lt;&gt;")&gt;0),SUMIFS(Global_Rates!$F$4:$F$73,Global_Rates!$B$4:$B$73,"Entity 3",Global_Rates!$A$4:$A$73,"Local 10-Year Government Bond Yield"),IF(COUNTIFS(Global_Rates!$B$4:$B$73,"Entity 3",Global_Rates!$A$4:$A$73,"U.S. 10-Year Treasury",Global_Rates!$F$4:$F$73,"&lt;&gt;")&gt;0,SUMIFS(Global_Rates!$F$4:$F$73,Global_Rates!$B$4:$B$73,"Entity 3",Global_Rates!$A$4:$A$73,"U.S. 10-Year Treasury"),""))</f>
        <v/>
      </c>
      <c r="C5" s="48" t="s">
        <v>614</v>
      </c>
      <c r="D5" s="48"/>
      <c r="E5" s="48"/>
      <c r="F5" s="48"/>
      <c r="G5" s="48"/>
    </row>
    <row r="6" spans="1:7" x14ac:dyDescent="0.3">
      <c r="A6" s="48" t="s">
        <v>193</v>
      </c>
      <c r="B6" s="50" t="str">
        <f>IF(COUNTIFS(Global_Rates!$B$4:$B$73,"Entity 3",Global_Rates!$A$4:$A$73,"Beta",Global_Rates!$F$4:$F$73,"&lt;&gt;")&gt;0,SUMIFS(Global_Rates!$F$4:$F$73,Global_Rates!$B$4:$B$73,"Entity 3",Global_Rates!$A$4:$A$73,"Beta"),"")</f>
        <v/>
      </c>
      <c r="C6" s="48" t="s">
        <v>615</v>
      </c>
      <c r="D6" s="48"/>
      <c r="E6" s="48"/>
      <c r="F6" s="48"/>
      <c r="G6" s="48"/>
    </row>
    <row r="7" spans="1:7" x14ac:dyDescent="0.3">
      <c r="A7" s="48" t="s">
        <v>195</v>
      </c>
      <c r="B7" s="50" t="str">
        <f>IF(AND(Entity_Ownership!$F$6&lt;&gt;"",UPPER(Entity_Ownership!$F$6)&lt;&gt;"UNITED STATES",COUNTIFS(Global_Rates!$B$4:$B$73,"Entity 3",Global_Rates!$A$4:$A$73,"Local Market Risk Premium",Global_Rates!$F$4:$F$73,"&lt;&gt;")&gt;0),SUMIFS(Global_Rates!$F$4:$F$73,Global_Rates!$B$4:$B$73,"Entity 3",Global_Rates!$A$4:$A$73,"Local Market Risk Premium"),IF(COUNTIFS(Global_Rates!$B$4:$B$73,"Entity 3",Global_Rates!$A$4:$A$73,"U.S. Market Risk Premium",Global_Rates!$F$4:$F$73,"&lt;&gt;")&gt;0,SUMIFS(Global_Rates!$F$4:$F$73,Global_Rates!$B$4:$B$73,"Entity 3",Global_Rates!$A$4:$A$73,"U.S. Market Risk Premium"),""))</f>
        <v/>
      </c>
      <c r="C7" s="48" t="s">
        <v>614</v>
      </c>
      <c r="D7" s="48"/>
      <c r="E7" s="48"/>
      <c r="F7" s="48"/>
      <c r="G7" s="48"/>
    </row>
    <row r="8" spans="1:7" x14ac:dyDescent="0.3">
      <c r="A8" s="48" t="s">
        <v>197</v>
      </c>
      <c r="B8" s="50" t="str">
        <f>IF(AND(Entity_Ownership!$F$6&lt;&gt;"",UPPER(Entity_Ownership!$F$6)&lt;&gt;"UNITED STATES",COUNTIFS(Global_Rates!$B$4:$B$73,"Entity 3",Global_Rates!$A$4:$A$73,"Local Corporate Bond Yield",Global_Rates!$F$4:$F$73,"&lt;&gt;")&gt;0),SUMIFS(Global_Rates!$F$4:$F$73,Global_Rates!$B$4:$B$73,"Entity 3",Global_Rates!$A$4:$A$73,"Local Corporate Bond Yield"),IF(COUNTIFS(Global_Rates!$B$4:$B$73,"Entity 3",Global_Rates!$A$4:$A$73,"U.S. Corporate Bond Yield",Global_Rates!$F$4:$F$73,"&lt;&gt;")&gt;0,SUMIFS(Global_Rates!$F$4:$F$73,Global_Rates!$B$4:$B$73,"Entity 3",Global_Rates!$A$4:$A$73,"U.S. Corporate Bond Yield"),""))</f>
        <v/>
      </c>
      <c r="C8" s="48" t="s">
        <v>616</v>
      </c>
      <c r="D8" s="48"/>
      <c r="E8" s="48"/>
      <c r="F8" s="48"/>
      <c r="G8" s="48"/>
    </row>
    <row r="9" spans="1:7" x14ac:dyDescent="0.3">
      <c r="A9" s="48" t="s">
        <v>199</v>
      </c>
      <c r="B9" s="50" t="str">
        <f>IF(OR(Fin_Inputs_Entity3!F13="",Fin_Inputs_Entity3!F11="",Fin_Inputs_Entity3!F11=0),"",ABS(Fin_Inputs_Entity3!F13/Fin_Inputs_Entity3!F11))</f>
        <v/>
      </c>
      <c r="C9" s="48" t="s">
        <v>617</v>
      </c>
      <c r="D9" s="48"/>
      <c r="E9" s="48"/>
      <c r="F9" s="48"/>
      <c r="G9" s="48"/>
    </row>
    <row r="10" spans="1:7" x14ac:dyDescent="0.3">
      <c r="A10" s="48" t="s">
        <v>201</v>
      </c>
      <c r="B10" s="50" t="str">
        <f>IF((N(Fin_Inputs_Entity3!F26)+N(Fin_Inputs_Entity3!F27)+N(Fin_Inputs_Entity3!F29))=0,"",(N(Fin_Inputs_Entity3!F26)+N(Fin_Inputs_Entity3!F27))/(N(Fin_Inputs_Entity3!F26)+N(Fin_Inputs_Entity3!F27)+N(Fin_Inputs_Entity3!F29)))</f>
        <v/>
      </c>
      <c r="C10" s="48" t="s">
        <v>618</v>
      </c>
      <c r="D10" s="48"/>
      <c r="E10" s="48"/>
      <c r="F10" s="48"/>
      <c r="G10" s="48"/>
    </row>
    <row r="11" spans="1:7" x14ac:dyDescent="0.3">
      <c r="A11" s="48" t="s">
        <v>203</v>
      </c>
      <c r="B11" s="50" t="str">
        <f>IF((N(Fin_Inputs_Entity3!F26)+N(Fin_Inputs_Entity3!F27)+N(Fin_Inputs_Entity3!F29))=0,"",N(Fin_Inputs_Entity3!F29)/(N(Fin_Inputs_Entity3!F26)+N(Fin_Inputs_Entity3!F27)+N(Fin_Inputs_Entity3!F29)))</f>
        <v/>
      </c>
      <c r="C11" s="48" t="s">
        <v>619</v>
      </c>
      <c r="D11" s="48"/>
      <c r="E11" s="48"/>
      <c r="F11" s="48"/>
      <c r="G11" s="48"/>
    </row>
    <row r="12" spans="1:7" x14ac:dyDescent="0.3">
      <c r="A12" s="48" t="s">
        <v>205</v>
      </c>
      <c r="B12" s="50" t="str">
        <f>IF(COUNT(B5:B7)&lt;3,"",B5+B6*B7)</f>
        <v/>
      </c>
      <c r="C12" s="48" t="s">
        <v>452</v>
      </c>
      <c r="D12" s="48"/>
      <c r="E12" s="48"/>
      <c r="F12" s="48"/>
      <c r="G12" s="48"/>
    </row>
    <row r="13" spans="1:7" x14ac:dyDescent="0.3">
      <c r="A13" s="48" t="s">
        <v>207</v>
      </c>
      <c r="B13" s="50" t="str">
        <f>IF(COUNT(B8:B12)&lt;5,"",(B11*B12)+(B10*B8*(1-B9)))</f>
        <v/>
      </c>
      <c r="C13" s="48" t="s">
        <v>620</v>
      </c>
      <c r="D13" s="48"/>
      <c r="E13" s="48"/>
      <c r="F13" s="48"/>
      <c r="G13" s="48"/>
    </row>
    <row r="14" spans="1:7" x14ac:dyDescent="0.3">
      <c r="A14" s="48" t="s">
        <v>621</v>
      </c>
      <c r="B14" s="50" t="str">
        <f>IF(FX_Rate_Entity3="","",FX_Rate_Entity3)</f>
        <v/>
      </c>
      <c r="C14" s="48" t="s">
        <v>622</v>
      </c>
      <c r="D14" s="48"/>
      <c r="E14" s="48"/>
      <c r="F14" s="48"/>
      <c r="G14" s="48"/>
    </row>
    <row r="15" spans="1:7" x14ac:dyDescent="0.3">
      <c r="A15" s="48" t="s">
        <v>209</v>
      </c>
      <c r="B15" s="50"/>
      <c r="C15" s="48"/>
      <c r="D15" s="48"/>
      <c r="E15" s="48"/>
      <c r="F15" s="48"/>
      <c r="G15" s="48"/>
    </row>
    <row r="16" spans="1:7" x14ac:dyDescent="0.3">
      <c r="A16" s="107" t="s">
        <v>155</v>
      </c>
      <c r="B16" s="108"/>
      <c r="C16" s="107"/>
      <c r="D16" s="107"/>
      <c r="E16" s="107"/>
      <c r="F16" s="107"/>
      <c r="G16" s="107"/>
    </row>
    <row r="17" spans="1:8" x14ac:dyDescent="0.3">
      <c r="A17" s="49" t="s">
        <v>211</v>
      </c>
      <c r="B17" s="51" t="s">
        <v>108</v>
      </c>
      <c r="C17" s="51" t="s">
        <v>109</v>
      </c>
      <c r="D17" s="51" t="s">
        <v>110</v>
      </c>
      <c r="E17" s="51" t="s">
        <v>111</v>
      </c>
      <c r="F17" s="51" t="s">
        <v>112</v>
      </c>
      <c r="G17" s="51" t="s">
        <v>210</v>
      </c>
    </row>
    <row r="18" spans="1:8" x14ac:dyDescent="0.3">
      <c r="A18" s="48" t="s">
        <v>212</v>
      </c>
      <c r="B18" s="50" t="str">
        <f>IF(OR(Fin_Inputs_Entity3!B37="",B14=""),"",Fin_Inputs_Entity3!B37*B14*(1+N(Scenario_Analysis!$E$4)-N(Scenario_Analysis!$E$6)-N(Scenario_Analysis!$E$7)))</f>
        <v/>
      </c>
      <c r="C18" s="50" t="str">
        <f>IF(OR(Fin_Inputs_Entity3!C37="",B14=""),"",Fin_Inputs_Entity3!C37*B14*(1+N(Scenario_Analysis!$E$4)-N(Scenario_Analysis!$E$6)-N(Scenario_Analysis!$E$7)))</f>
        <v/>
      </c>
      <c r="D18" s="50" t="str">
        <f>IF(OR(Fin_Inputs_Entity3!D37="",B14=""),"",Fin_Inputs_Entity3!D37*B14*(1+N(Scenario_Analysis!$E$4)-N(Scenario_Analysis!$E$6)-N(Scenario_Analysis!$E$7)))</f>
        <v/>
      </c>
      <c r="E18" s="50" t="str">
        <f>IF(OR(Fin_Inputs_Entity3!E37="",B14=""),"",Fin_Inputs_Entity3!E37*B14*(1+N(Scenario_Analysis!$E$4)-N(Scenario_Analysis!$E$6)-N(Scenario_Analysis!$E$7)))</f>
        <v/>
      </c>
      <c r="F18" s="50" t="str">
        <f>IF(OR(Fin_Inputs_Entity3!F37="",B14=""),"",Fin_Inputs_Entity3!F37*B14*(1+N(Scenario_Analysis!$E$4)-N(Scenario_Analysis!$E$6)-N(Scenario_Analysis!$E$7)))</f>
        <v/>
      </c>
      <c r="G18" s="50"/>
    </row>
    <row r="19" spans="1:8" x14ac:dyDescent="0.3">
      <c r="A19" s="48" t="s">
        <v>213</v>
      </c>
      <c r="B19" s="52">
        <v>0.02</v>
      </c>
      <c r="C19" s="52"/>
      <c r="D19" s="52"/>
      <c r="E19" s="52"/>
      <c r="F19" s="52"/>
      <c r="G19" s="50" t="str">
        <f>IF(OR(F18="",B13="",B19="",B13&lt;=B19),"",F18*(1+B19)/(B13-B19))</f>
        <v/>
      </c>
    </row>
    <row r="20" spans="1:8" x14ac:dyDescent="0.3">
      <c r="A20" s="48" t="s">
        <v>214</v>
      </c>
      <c r="B20" s="50" t="str">
        <f>IF(B13="","",1/(1+B13)^1)</f>
        <v/>
      </c>
      <c r="C20" s="50" t="str">
        <f>IF(B13="","",1/(1+B13)^2)</f>
        <v/>
      </c>
      <c r="D20" s="50" t="str">
        <f>IF(B13="","",1/(1+B13)^3)</f>
        <v/>
      </c>
      <c r="E20" s="50" t="str">
        <f>IF(B13="","",1/(1+B13)^4)</f>
        <v/>
      </c>
      <c r="F20" s="50" t="str">
        <f>IF(B13="","",1/(1+B13)^5)</f>
        <v/>
      </c>
      <c r="G20" s="50" t="str">
        <f>IF(B13="","",1/(1+B13)^5)</f>
        <v/>
      </c>
    </row>
    <row r="21" spans="1:8" x14ac:dyDescent="0.3">
      <c r="A21" s="48" t="s">
        <v>215</v>
      </c>
      <c r="B21" s="50" t="str">
        <f>IF(OR(B18="",B20=""),"",B18*B20)</f>
        <v/>
      </c>
      <c r="C21" s="50" t="str">
        <f>IF(OR(C18="",C20=""),"",C18*C20)</f>
        <v/>
      </c>
      <c r="D21" s="50" t="str">
        <f>IF(OR(D18="",D20=""),"",D18*D20)</f>
        <v/>
      </c>
      <c r="E21" s="50" t="str">
        <f>IF(OR(E18="",E20=""),"",E18*E20)</f>
        <v/>
      </c>
      <c r="F21" s="50" t="str">
        <f>IF(OR(F18="",F20=""),"",F18*F20)</f>
        <v/>
      </c>
      <c r="G21" s="50" t="str">
        <f>IF(OR(G19="",G20=""),"",G19*G20)</f>
        <v/>
      </c>
    </row>
    <row r="22" spans="1:8" x14ac:dyDescent="0.3">
      <c r="A22" s="48" t="s">
        <v>216</v>
      </c>
      <c r="B22" s="50" t="str">
        <f>IF(COUNT(B21:G21)=0,"",SUM(B21:G21))</f>
        <v/>
      </c>
      <c r="C22" s="50" t="str">
        <f>IF(OR(C18="",C21=""),"",C18*C21)</f>
        <v/>
      </c>
      <c r="D22" s="50" t="str">
        <f>IF(OR(D18="",D21=""),"",D18*D21)</f>
        <v/>
      </c>
      <c r="E22" s="50" t="str">
        <f>IF(OR(E18="",E21=""),"",E18*E21)</f>
        <v/>
      </c>
      <c r="F22" s="50" t="str">
        <f>IF(OR(F18="",F21=""),"",F18*F21)</f>
        <v/>
      </c>
      <c r="G22" s="50" t="str">
        <f>IF(OR(G20="",G21=""),"",G20*G21)</f>
        <v/>
      </c>
    </row>
    <row r="23" spans="1:8" x14ac:dyDescent="0.3">
      <c r="A23" s="48" t="s">
        <v>216</v>
      </c>
      <c r="B23" s="50" t="str">
        <f>IF(COUNT(B22:G22)=0,"",SUM(B22:G22))</f>
        <v/>
      </c>
      <c r="C23" s="50"/>
      <c r="D23" s="50"/>
      <c r="E23" s="50"/>
      <c r="F23" s="50"/>
      <c r="G23" s="50"/>
      <c r="H23" t="str">
        <f>IF(OR(F21="",B13="",B22="",B13&lt;=B22),"",F21*(1+B22)/(B13-B22))</f>
        <v/>
      </c>
    </row>
    <row r="24" spans="1:8" x14ac:dyDescent="0.3">
      <c r="A24" s="48"/>
      <c r="B24" s="50"/>
      <c r="C24" s="50"/>
      <c r="D24" s="50"/>
      <c r="E24" s="50"/>
      <c r="F24" s="50"/>
      <c r="G24" s="50"/>
    </row>
    <row r="25" spans="1:8" x14ac:dyDescent="0.3">
      <c r="A25" s="107" t="s">
        <v>218</v>
      </c>
      <c r="B25" s="107"/>
      <c r="C25" s="107"/>
      <c r="D25" s="107"/>
      <c r="E25" s="50"/>
      <c r="F25" s="50"/>
      <c r="G25" s="50"/>
    </row>
    <row r="26" spans="1:8" x14ac:dyDescent="0.3">
      <c r="A26" s="48" t="s">
        <v>218</v>
      </c>
      <c r="B26" s="50" t="s">
        <v>219</v>
      </c>
      <c r="C26" s="48" t="s">
        <v>220</v>
      </c>
      <c r="D26" s="48" t="s">
        <v>221</v>
      </c>
      <c r="E26" s="48"/>
      <c r="F26" s="48"/>
      <c r="G26" s="48"/>
    </row>
    <row r="27" spans="1:8" x14ac:dyDescent="0.3">
      <c r="A27" s="48" t="s">
        <v>222</v>
      </c>
      <c r="B27" s="43">
        <v>6</v>
      </c>
      <c r="C27" s="50" t="str">
        <f>IF(OR(Fin_Inputs_Entity3!F9="",B14=""),"",Fin_Inputs_Entity3!F9*B14)</f>
        <v/>
      </c>
      <c r="D27" s="50" t="str">
        <f>IF(OR(B27="",C27=""),"",B27*C27)</f>
        <v/>
      </c>
      <c r="E27" s="48"/>
      <c r="F27" s="48"/>
      <c r="G27" s="48"/>
    </row>
    <row r="28" spans="1:8" x14ac:dyDescent="0.3">
      <c r="A28" s="49" t="s">
        <v>223</v>
      </c>
      <c r="B28" s="53">
        <v>1.5</v>
      </c>
      <c r="C28" s="51" t="str">
        <f>IF(OR(Fin_Inputs_Entity3!F5="",B14=""),"",Fin_Inputs_Entity3!F5*B14)</f>
        <v/>
      </c>
      <c r="D28" s="51" t="str">
        <f>IF(OR(B28="",C28=""),"",B28*C28)</f>
        <v/>
      </c>
      <c r="E28" s="49"/>
      <c r="F28" s="49"/>
      <c r="G28" s="49"/>
    </row>
    <row r="29" spans="1:8" x14ac:dyDescent="0.3">
      <c r="A29" s="48" t="s">
        <v>224</v>
      </c>
      <c r="B29" s="43">
        <v>10</v>
      </c>
      <c r="C29" s="50" t="str">
        <f>IF(OR(Fin_Inputs_Entity3!F14="",B14=""),"",Fin_Inputs_Entity3!F14*B14)</f>
        <v/>
      </c>
      <c r="D29" s="50" t="str">
        <f>IF(OR(B29="",C29=""),"",B29*C29)</f>
        <v/>
      </c>
      <c r="E29" s="48"/>
      <c r="F29" s="48"/>
      <c r="G29" s="48"/>
    </row>
    <row r="30" spans="1:8" x14ac:dyDescent="0.3">
      <c r="A30" s="48" t="s">
        <v>225</v>
      </c>
      <c r="B30" s="50" t="str">
        <f>IF(COUNT(D27:D29)=0,"",AVERAGE(D27:D29))</f>
        <v/>
      </c>
      <c r="C30" s="50"/>
      <c r="D30" s="50" t="str">
        <f>IF(COUNT(D27:D29)=0,"",AVERAGE(D27:D29))</f>
        <v/>
      </c>
      <c r="E30" s="48"/>
      <c r="F30" s="48"/>
      <c r="G30" s="48"/>
    </row>
    <row r="31" spans="1:8" x14ac:dyDescent="0.3">
      <c r="A31" s="48" t="s">
        <v>384</v>
      </c>
      <c r="B31" s="50" t="str">
        <f>IF(OR(Entity_Ownership!F6="",FX_Conversion!B6=""),"WARNING: Missing Country/Currency Data",IF(OR(B5="",B6="",B7="",B8="",B14=""),"WARNING: Incomplete CAPM / WACC / FX Chain",""))</f>
        <v>WARNING: Missing Country/Currency Data</v>
      </c>
      <c r="C31" s="48"/>
      <c r="D31" s="48"/>
      <c r="E31" s="48"/>
      <c r="F31" s="48"/>
      <c r="G31" s="48"/>
    </row>
    <row r="32" spans="1:8" x14ac:dyDescent="0.3">
      <c r="A32" s="48"/>
      <c r="B32" s="50"/>
      <c r="C32" s="48"/>
      <c r="D32" s="48"/>
      <c r="E32" s="48"/>
      <c r="F32" s="48"/>
      <c r="G32" s="48"/>
    </row>
    <row r="33" spans="1:7" x14ac:dyDescent="0.3">
      <c r="A33" s="107" t="s">
        <v>155</v>
      </c>
      <c r="B33" s="108"/>
      <c r="C33" s="107"/>
      <c r="D33" s="48"/>
      <c r="E33" s="48"/>
      <c r="F33" s="48"/>
      <c r="G33" s="48"/>
    </row>
    <row r="34" spans="1:7" x14ac:dyDescent="0.3">
      <c r="A34" s="48" t="s">
        <v>229</v>
      </c>
      <c r="B34" s="50" t="str">
        <f>B23</f>
        <v/>
      </c>
      <c r="C34" s="48" t="s">
        <v>623</v>
      </c>
      <c r="D34" s="48"/>
      <c r="E34" s="48"/>
      <c r="F34" s="48"/>
      <c r="G34" s="48"/>
    </row>
    <row r="35" spans="1:7" x14ac:dyDescent="0.3">
      <c r="A35" s="48" t="s">
        <v>578</v>
      </c>
      <c r="B35" s="50" t="str">
        <f>B30</f>
        <v/>
      </c>
      <c r="C35" s="48" t="s">
        <v>623</v>
      </c>
      <c r="D35" s="48"/>
      <c r="E35" s="48"/>
      <c r="F35" s="48"/>
      <c r="G35" s="48"/>
    </row>
    <row r="36" spans="1:7" x14ac:dyDescent="0.3">
      <c r="A36" s="48" t="s">
        <v>624</v>
      </c>
      <c r="B36" s="50" t="str">
        <f>IF(COUNT(B34:B35)=0,"",AVERAGE(B34:B35))</f>
        <v/>
      </c>
      <c r="C36" s="48" t="s">
        <v>623</v>
      </c>
      <c r="D36" s="48"/>
      <c r="E36" s="48"/>
      <c r="F36" s="48"/>
      <c r="G36" s="48"/>
    </row>
    <row r="37" spans="1:7" x14ac:dyDescent="0.3">
      <c r="A37" s="48" t="s">
        <v>231</v>
      </c>
      <c r="B37" s="50" t="str">
        <f>IF(B36="","",B36*IF(Entity_Ownership!C6="",1,Entity_Ownership!C6))</f>
        <v/>
      </c>
      <c r="C37" s="48" t="s">
        <v>625</v>
      </c>
      <c r="D37" s="48"/>
      <c r="E37" s="48"/>
      <c r="F37" s="48"/>
      <c r="G37" s="48"/>
    </row>
    <row r="38" spans="1:7" x14ac:dyDescent="0.3">
      <c r="A38" s="49"/>
      <c r="B38" s="51"/>
      <c r="C38" s="49"/>
      <c r="D38" s="49"/>
      <c r="E38" s="49"/>
      <c r="F38" s="49"/>
      <c r="G38" s="49"/>
    </row>
    <row r="39" spans="1:7" x14ac:dyDescent="0.3">
      <c r="A39" s="107" t="s">
        <v>626</v>
      </c>
      <c r="B39" s="107"/>
      <c r="C39" s="107"/>
      <c r="D39" s="107"/>
      <c r="E39" s="107"/>
      <c r="F39" s="107"/>
      <c r="G39" s="107"/>
    </row>
    <row r="40" spans="1:7" x14ac:dyDescent="0.3">
      <c r="A40" s="48" t="s">
        <v>627</v>
      </c>
      <c r="B40" s="54" t="s">
        <v>628</v>
      </c>
      <c r="C40" s="55" t="s">
        <v>629</v>
      </c>
      <c r="D40" s="55" t="s">
        <v>630</v>
      </c>
      <c r="E40" s="48"/>
      <c r="F40" s="48"/>
      <c r="G40" s="48"/>
    </row>
    <row r="41" spans="1:7" x14ac:dyDescent="0.3">
      <c r="A41" s="48" t="s">
        <v>631</v>
      </c>
      <c r="B41" s="50" t="e">
        <f>IF(OR($B$13="",$B$19="",$F$18="",($B$13-0.01)&lt;=($B$19-0.01)),"",SUM($B$21:$F$21)+($F$18*(1+($B$19-0.01))/(($B$13-0.01)-($B$19-0.01)))/(1+($B$13-0.01))^5)</f>
        <v>#VALUE!</v>
      </c>
      <c r="C41" s="50" t="e">
        <f>IF(OR($B$13="",$B$19="",$F$18="",($B$13-0.01)&lt;=($B$19)),"",SUM($B$21:$F$21)+($F$18*(1+$B$19)/(($B$13-0.01)-$B$19))/(1+($B$13-0.01))^5)</f>
        <v>#VALUE!</v>
      </c>
      <c r="D41" s="50" t="e">
        <f>IF(OR($B$13="",$B$19="",$F$18="",($B$13-0.01)&lt;=($B$19+0.01)),"",SUM($B$21:$F$21)+($F$18*(1+($B$19+0.01))/(($B$13-0.01)-($B$19+0.01)))/(1+($B$13-0.01))^5)</f>
        <v>#VALUE!</v>
      </c>
      <c r="E41" s="48"/>
      <c r="F41" s="48"/>
      <c r="G41" s="48"/>
    </row>
    <row r="42" spans="1:7" x14ac:dyDescent="0.3">
      <c r="A42" s="49" t="s">
        <v>632</v>
      </c>
      <c r="B42" s="51" t="str">
        <f>IF(OR($B$13="",$B$19="",$F$18="",($B$13)&lt;=($B$19-0.01)),"",SUM($B$21:$F$21)+($F$18*(1+($B$19-0.01))/($B$13-($B$19-0.01)))/(1+$B$13)^5)</f>
        <v/>
      </c>
      <c r="C42" s="51" t="str">
        <f>B22</f>
        <v/>
      </c>
      <c r="D42" s="51" t="str">
        <f>IF(OR($B$13="",$B$19="",$F$18="",($B$13)&lt;=($B$19+0.01)),"",SUM($B$21:$F$21)+($F$18*(1+($B$19+0.01))/($B$13-($B$19+0.01)))/(1+$B$13)^5)</f>
        <v/>
      </c>
      <c r="E42" s="49"/>
      <c r="F42" s="49"/>
      <c r="G42" s="49"/>
    </row>
    <row r="43" spans="1:7" x14ac:dyDescent="0.3">
      <c r="A43" s="48" t="s">
        <v>633</v>
      </c>
      <c r="B43" s="50" t="e">
        <f>IF(OR($B$13="",$B$19="",$F$18="",($B$13+0.01)&lt;=($B$19-0.01)),"",SUM($B$21:$F$21)+($F$18*(1+($B$19-0.01))/(($B$13+0.01)-($B$19-0.01)))/(1+($B$13+0.01))^5)</f>
        <v>#VALUE!</v>
      </c>
      <c r="C43" s="50" t="e">
        <f>IF(OR($B$13="",$B$19="",$F$18="",($B$13+0.01)&lt;=($B$19)),"",SUM($B$21:$F$21)+($F$18*(1+$B$19)/(($B$13+0.01)-$B$19))/(1+($B$13+0.01))^5)</f>
        <v>#VALUE!</v>
      </c>
      <c r="D43" s="50" t="e">
        <f>IF(OR($B$13="",$B$19="",$F$18="",($B$13+0.01)&lt;=($B$19+0.01)),"",SUM($B$21:$F$21)+($F$18*(1+($B$19+0.01))/(($B$13+0.01)-($B$19+0.01)))/(1+($B$13+0.01))^5)</f>
        <v>#VALUE!</v>
      </c>
      <c r="E43" s="48"/>
      <c r="F43" s="48"/>
      <c r="G43" s="48"/>
    </row>
    <row r="44" spans="1:7" x14ac:dyDescent="0.3">
      <c r="A44" s="48" t="s">
        <v>634</v>
      </c>
      <c r="B44" s="48" t="s">
        <v>639</v>
      </c>
      <c r="C44" s="48"/>
      <c r="D44" s="48"/>
      <c r="E44" s="48"/>
      <c r="F44" s="48"/>
      <c r="G44" s="48"/>
    </row>
    <row r="45" spans="1:7" x14ac:dyDescent="0.3">
      <c r="A45" s="48" t="s">
        <v>384</v>
      </c>
      <c r="B45" s="50" t="str">
        <f>IF(OR(Entity_Ownership!F6="",Entity_Ownership!G6=""),"WARNING: Missing Country/Currency Data",IF(B13="","WARNING: Incomplete CAPM / WACC Chain",""))</f>
        <v>WARNING: Missing Country/Currency Data</v>
      </c>
      <c r="C45" s="48"/>
      <c r="D45" s="48"/>
      <c r="E45" s="48"/>
      <c r="F45" s="48"/>
      <c r="G45" s="48"/>
    </row>
  </sheetData>
  <mergeCells count="6">
    <mergeCell ref="A39:G39"/>
    <mergeCell ref="A1:G1"/>
    <mergeCell ref="A3:C3"/>
    <mergeCell ref="A16:G16"/>
    <mergeCell ref="A25:D25"/>
    <mergeCell ref="A33:C3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DD5D-527F-4D15-9E01-DD63ED9C733B}">
  <dimension ref="A1:H45"/>
  <sheetViews>
    <sheetView workbookViewId="0"/>
  </sheetViews>
  <sheetFormatPr defaultRowHeight="14.4" x14ac:dyDescent="0.3"/>
  <cols>
    <col min="1" max="1" width="23.109375" bestFit="1" customWidth="1"/>
    <col min="2" max="2" width="47.88671875" bestFit="1" customWidth="1"/>
    <col min="3" max="3" width="27.109375" bestFit="1" customWidth="1"/>
    <col min="4" max="4" width="9.33203125" bestFit="1" customWidth="1"/>
    <col min="5" max="6" width="6" bestFit="1" customWidth="1"/>
    <col min="7" max="7" width="8.33203125" bestFit="1" customWidth="1"/>
  </cols>
  <sheetData>
    <row r="1" spans="1:7" x14ac:dyDescent="0.3">
      <c r="A1" s="107" t="s">
        <v>640</v>
      </c>
      <c r="B1" s="107"/>
      <c r="C1" s="107"/>
      <c r="D1" s="107"/>
      <c r="E1" s="107"/>
      <c r="F1" s="107"/>
      <c r="G1" s="107"/>
    </row>
    <row r="2" spans="1:7" x14ac:dyDescent="0.3">
      <c r="A2" s="48"/>
      <c r="B2" s="43"/>
      <c r="C2" s="48"/>
      <c r="D2" s="48"/>
      <c r="E2" s="48"/>
      <c r="F2" s="48"/>
      <c r="G2" s="48"/>
    </row>
    <row r="3" spans="1:7" x14ac:dyDescent="0.3">
      <c r="A3" s="107" t="s">
        <v>190</v>
      </c>
      <c r="B3" s="107"/>
      <c r="C3" s="107"/>
      <c r="D3" s="49"/>
      <c r="E3" s="49"/>
      <c r="F3" s="49"/>
      <c r="G3" s="49"/>
    </row>
    <row r="4" spans="1:7" x14ac:dyDescent="0.3">
      <c r="A4" s="48" t="s">
        <v>16</v>
      </c>
      <c r="B4" s="48" t="s">
        <v>91</v>
      </c>
      <c r="C4" s="48" t="s">
        <v>90</v>
      </c>
      <c r="D4" s="48"/>
      <c r="E4" s="48"/>
      <c r="F4" s="48"/>
      <c r="G4" s="48"/>
    </row>
    <row r="5" spans="1:7" x14ac:dyDescent="0.3">
      <c r="A5" s="48" t="s">
        <v>191</v>
      </c>
      <c r="B5" s="50" t="str">
        <f>IF(AND(Entity_Ownership!$F$7&lt;&gt;"",UPPER(Entity_Ownership!$F$7)&lt;&gt;"UNITED STATES",COUNTIFS(Global_Rates!$B$4:$B$73,"Entity 4",Global_Rates!$A$4:$A$73,"Local 10-Year Government Bond Yield",Global_Rates!$F$4:$F$73,"&lt;&gt;")&gt;0),SUMIFS(Global_Rates!$F$4:$F$73,Global_Rates!$B$4:$B$73,"Entity 4",Global_Rates!$A$4:$A$73,"Local 10-Year Government Bond Yield"),IF(COUNTIFS(Global_Rates!$B$4:$B$73,"Entity 4",Global_Rates!$A$4:$A$73,"U.S. 10-Year Treasury",Global_Rates!$F$4:$F$73,"&lt;&gt;")&gt;0,SUMIFS(Global_Rates!$F$4:$F$73,Global_Rates!$B$4:$B$73,"Entity 4",Global_Rates!$A$4:$A$73,"U.S. 10-Year Treasury"),""))</f>
        <v/>
      </c>
      <c r="C5" s="48" t="s">
        <v>614</v>
      </c>
      <c r="D5" s="48"/>
      <c r="E5" s="48"/>
      <c r="F5" s="48"/>
      <c r="G5" s="48"/>
    </row>
    <row r="6" spans="1:7" x14ac:dyDescent="0.3">
      <c r="A6" s="48" t="s">
        <v>193</v>
      </c>
      <c r="B6" s="50" t="str">
        <f>IF(COUNTIFS(Global_Rates!$B$4:$B$73,"Entity 4",Global_Rates!$A$4:$A$73,"Beta",Global_Rates!$F$4:$F$73,"&lt;&gt;")&gt;0,SUMIFS(Global_Rates!$F$4:$F$73,Global_Rates!$B$4:$B$73,"Entity 4",Global_Rates!$A$4:$A$73,"Beta"),"")</f>
        <v/>
      </c>
      <c r="C6" s="48" t="s">
        <v>615</v>
      </c>
      <c r="D6" s="48"/>
      <c r="E6" s="48"/>
      <c r="F6" s="48"/>
      <c r="G6" s="48"/>
    </row>
    <row r="7" spans="1:7" x14ac:dyDescent="0.3">
      <c r="A7" s="48" t="s">
        <v>195</v>
      </c>
      <c r="B7" s="50" t="str">
        <f>IF(AND(Entity_Ownership!$F$7&lt;&gt;"",UPPER(Entity_Ownership!$F$7)&lt;&gt;"UNITED STATES",COUNTIFS(Global_Rates!$B$4:$B$73,"Entity 4",Global_Rates!$A$4:$A$73,"Local Market Risk Premium",Global_Rates!$F$4:$F$73,"&lt;&gt;")&gt;0),SUMIFS(Global_Rates!$F$4:$F$73,Global_Rates!$B$4:$B$73,"Entity 4",Global_Rates!$A$4:$A$73,"Local Market Risk Premium"),IF(COUNTIFS(Global_Rates!$B$4:$B$73,"Entity 4",Global_Rates!$A$4:$A$73,"U.S. Market Risk Premium",Global_Rates!$F$4:$F$73,"&lt;&gt;")&gt;0,SUMIFS(Global_Rates!$F$4:$F$73,Global_Rates!$B$4:$B$73,"Entity 4",Global_Rates!$A$4:$A$73,"U.S. Market Risk Premium"),""))</f>
        <v/>
      </c>
      <c r="C7" s="48" t="s">
        <v>614</v>
      </c>
      <c r="D7" s="48"/>
      <c r="E7" s="48"/>
      <c r="F7" s="48"/>
      <c r="G7" s="48"/>
    </row>
    <row r="8" spans="1:7" x14ac:dyDescent="0.3">
      <c r="A8" s="48" t="s">
        <v>197</v>
      </c>
      <c r="B8" s="50" t="str">
        <f>IF(AND(Entity_Ownership!$F$7&lt;&gt;"",UPPER(Entity_Ownership!$F$7)&lt;&gt;"UNITED STATES",COUNTIFS(Global_Rates!$B$4:$B$73,"Entity 4",Global_Rates!$A$4:$A$73,"Local Corporate Bond Yield",Global_Rates!$F$4:$F$73,"&lt;&gt;")&gt;0),SUMIFS(Global_Rates!$F$4:$F$73,Global_Rates!$B$4:$B$73,"Entity 4",Global_Rates!$A$4:$A$73,"Local Corporate Bond Yield"),IF(COUNTIFS(Global_Rates!$B$4:$B$73,"Entity 4",Global_Rates!$A$4:$A$73,"U.S. Corporate Bond Yield",Global_Rates!$F$4:$F$73,"&lt;&gt;")&gt;0,SUMIFS(Global_Rates!$F$4:$F$73,Global_Rates!$B$4:$B$73,"Entity 4",Global_Rates!$A$4:$A$73,"U.S. Corporate Bond Yield"),""))</f>
        <v/>
      </c>
      <c r="C8" s="48" t="s">
        <v>616</v>
      </c>
      <c r="D8" s="48"/>
      <c r="E8" s="48"/>
      <c r="F8" s="48"/>
      <c r="G8" s="48"/>
    </row>
    <row r="9" spans="1:7" x14ac:dyDescent="0.3">
      <c r="A9" s="48" t="s">
        <v>199</v>
      </c>
      <c r="B9" s="50" t="str">
        <f>IF(OR(Fin_Inputs_Entity4!F13="",Fin_Inputs_Entity4!F11="",Fin_Inputs_Entity4!F11=0),"",ABS(Fin_Inputs_Entity4!F13/Fin_Inputs_Entity4!F11))</f>
        <v/>
      </c>
      <c r="C9" s="48" t="s">
        <v>617</v>
      </c>
      <c r="D9" s="48"/>
      <c r="E9" s="48"/>
      <c r="F9" s="48"/>
      <c r="G9" s="48"/>
    </row>
    <row r="10" spans="1:7" x14ac:dyDescent="0.3">
      <c r="A10" s="48" t="s">
        <v>201</v>
      </c>
      <c r="B10" s="50" t="str">
        <f>IF((N(Fin_Inputs_Entity4!F26)+N(Fin_Inputs_Entity4!F27)+N(Fin_Inputs_Entity4!F29))=0,"",(N(Fin_Inputs_Entity4!F26)+N(Fin_Inputs_Entity4!F27))/(N(Fin_Inputs_Entity4!F26)+N(Fin_Inputs_Entity4!F27)+N(Fin_Inputs_Entity4!F29)))</f>
        <v/>
      </c>
      <c r="C10" s="48" t="s">
        <v>618</v>
      </c>
      <c r="D10" s="48"/>
      <c r="E10" s="48"/>
      <c r="F10" s="48"/>
      <c r="G10" s="48"/>
    </row>
    <row r="11" spans="1:7" x14ac:dyDescent="0.3">
      <c r="A11" s="48" t="s">
        <v>203</v>
      </c>
      <c r="B11" s="50" t="str">
        <f>IF((N(Fin_Inputs_Entity4!F26)+N(Fin_Inputs_Entity4!F27)+N(Fin_Inputs_Entity4!F29))=0,"",N(Fin_Inputs_Entity4!F29)/(N(Fin_Inputs_Entity4!F26)+N(Fin_Inputs_Entity4!F27)+N(Fin_Inputs_Entity4!F29)))</f>
        <v/>
      </c>
      <c r="C11" s="48" t="s">
        <v>619</v>
      </c>
      <c r="D11" s="48"/>
      <c r="E11" s="48"/>
      <c r="F11" s="48"/>
      <c r="G11" s="48"/>
    </row>
    <row r="12" spans="1:7" x14ac:dyDescent="0.3">
      <c r="A12" s="48" t="s">
        <v>205</v>
      </c>
      <c r="B12" s="50" t="str">
        <f>IF(COUNT(B5:B7)&lt;3,"",B5+B6*B7)</f>
        <v/>
      </c>
      <c r="C12" s="48" t="s">
        <v>452</v>
      </c>
      <c r="D12" s="48"/>
      <c r="E12" s="48"/>
      <c r="F12" s="48"/>
      <c r="G12" s="48"/>
    </row>
    <row r="13" spans="1:7" x14ac:dyDescent="0.3">
      <c r="A13" s="48" t="s">
        <v>207</v>
      </c>
      <c r="B13" s="50" t="str">
        <f>IF(COUNT(B8:B12)&lt;5,"",(B11*B12)+(B10*B8*(1-B9)))</f>
        <v/>
      </c>
      <c r="C13" s="48" t="s">
        <v>620</v>
      </c>
      <c r="D13" s="48"/>
      <c r="E13" s="48"/>
      <c r="F13" s="48"/>
      <c r="G13" s="48"/>
    </row>
    <row r="14" spans="1:7" x14ac:dyDescent="0.3">
      <c r="A14" s="48" t="s">
        <v>621</v>
      </c>
      <c r="B14" s="50" t="str">
        <f>IF(FX_Rate_Entity4="","",FX_Rate_Entity4)</f>
        <v/>
      </c>
      <c r="C14" s="48" t="s">
        <v>622</v>
      </c>
      <c r="D14" s="48"/>
      <c r="E14" s="48"/>
      <c r="F14" s="48"/>
      <c r="G14" s="48"/>
    </row>
    <row r="15" spans="1:7" x14ac:dyDescent="0.3">
      <c r="A15" s="48" t="s">
        <v>209</v>
      </c>
      <c r="B15" s="50"/>
      <c r="C15" s="48"/>
      <c r="D15" s="48"/>
      <c r="E15" s="48"/>
      <c r="F15" s="48"/>
      <c r="G15" s="48"/>
    </row>
    <row r="16" spans="1:7" x14ac:dyDescent="0.3">
      <c r="A16" s="107" t="s">
        <v>155</v>
      </c>
      <c r="B16" s="108"/>
      <c r="C16" s="107"/>
      <c r="D16" s="107"/>
      <c r="E16" s="107"/>
      <c r="F16" s="107"/>
      <c r="G16" s="107"/>
    </row>
    <row r="17" spans="1:8" x14ac:dyDescent="0.3">
      <c r="A17" s="49" t="s">
        <v>211</v>
      </c>
      <c r="B17" s="51" t="s">
        <v>108</v>
      </c>
      <c r="C17" s="51" t="s">
        <v>109</v>
      </c>
      <c r="D17" s="51" t="s">
        <v>110</v>
      </c>
      <c r="E17" s="51" t="s">
        <v>111</v>
      </c>
      <c r="F17" s="51" t="s">
        <v>112</v>
      </c>
      <c r="G17" s="51" t="s">
        <v>210</v>
      </c>
    </row>
    <row r="18" spans="1:8" x14ac:dyDescent="0.3">
      <c r="A18" s="48" t="s">
        <v>212</v>
      </c>
      <c r="B18" s="50" t="str">
        <f>IF(OR(Fin_Inputs_Entity4!B37="",B14=""),"",Fin_Inputs_Entity4!B37*B14*(1+N(Scenario_Analysis!$E$4)-N(Scenario_Analysis!$E$6)-N(Scenario_Analysis!$E$7)))</f>
        <v/>
      </c>
      <c r="C18" s="50" t="str">
        <f>IF(OR(Fin_Inputs_Entity4!C37="",B14=""),"",Fin_Inputs_Entity4!C37*B14*(1+N(Scenario_Analysis!$E$4)-N(Scenario_Analysis!$E$6)-N(Scenario_Analysis!$E$7)))</f>
        <v/>
      </c>
      <c r="D18" s="50" t="str">
        <f>IF(OR(Fin_Inputs_Entity4!D37="",B14=""),"",Fin_Inputs_Entity4!D37*B14*(1+N(Scenario_Analysis!$E$4)-N(Scenario_Analysis!$E$6)-N(Scenario_Analysis!$E$7)))</f>
        <v/>
      </c>
      <c r="E18" s="50" t="str">
        <f>IF(OR(Fin_Inputs_Entity4!E37="",B14=""),"",Fin_Inputs_Entity4!E37*B14*(1+N(Scenario_Analysis!$E$4)-N(Scenario_Analysis!$E$6)-N(Scenario_Analysis!$E$7)))</f>
        <v/>
      </c>
      <c r="F18" s="50" t="str">
        <f>IF(OR(Fin_Inputs_Entity4!F37="",B14=""),"",Fin_Inputs_Entity4!F37*B14*(1+N(Scenario_Analysis!$E$4)-N(Scenario_Analysis!$E$6)-N(Scenario_Analysis!$E$7)))</f>
        <v/>
      </c>
      <c r="G18" s="50"/>
    </row>
    <row r="19" spans="1:8" x14ac:dyDescent="0.3">
      <c r="A19" s="48" t="s">
        <v>213</v>
      </c>
      <c r="B19" s="52">
        <v>0.02</v>
      </c>
      <c r="C19" s="52"/>
      <c r="D19" s="52"/>
      <c r="E19" s="52"/>
      <c r="F19" s="52"/>
      <c r="G19" s="50" t="str">
        <f>IF(OR(F18="",B13="",B19="",B13&lt;=B19),"",F18*(1+B19)/(B13-B19))</f>
        <v/>
      </c>
    </row>
    <row r="20" spans="1:8" x14ac:dyDescent="0.3">
      <c r="A20" s="48" t="s">
        <v>214</v>
      </c>
      <c r="B20" s="50" t="str">
        <f>IF(B13="","",1/(1+B13)^1)</f>
        <v/>
      </c>
      <c r="C20" s="50" t="str">
        <f>IF(B13="","",1/(1+B13)^2)</f>
        <v/>
      </c>
      <c r="D20" s="50" t="str">
        <f>IF(B13="","",1/(1+B13)^3)</f>
        <v/>
      </c>
      <c r="E20" s="50" t="str">
        <f>IF(B13="","",1/(1+B13)^4)</f>
        <v/>
      </c>
      <c r="F20" s="50" t="str">
        <f>IF(B13="","",1/(1+B13)^5)</f>
        <v/>
      </c>
      <c r="G20" s="50" t="str">
        <f>IF(B13="","",1/(1+B13)^5)</f>
        <v/>
      </c>
    </row>
    <row r="21" spans="1:8" x14ac:dyDescent="0.3">
      <c r="A21" s="48" t="s">
        <v>215</v>
      </c>
      <c r="B21" s="50" t="str">
        <f>IF(OR(B18="",B20=""),"",B18*B20)</f>
        <v/>
      </c>
      <c r="C21" s="50" t="str">
        <f>IF(OR(C18="",C20=""),"",C18*C20)</f>
        <v/>
      </c>
      <c r="D21" s="50" t="str">
        <f>IF(OR(D18="",D20=""),"",D18*D20)</f>
        <v/>
      </c>
      <c r="E21" s="50" t="str">
        <f>IF(OR(E18="",E20=""),"",E18*E20)</f>
        <v/>
      </c>
      <c r="F21" s="50" t="str">
        <f>IF(OR(F18="",F20=""),"",F18*F20)</f>
        <v/>
      </c>
      <c r="G21" s="50" t="str">
        <f>IF(OR(G19="",G20=""),"",G19*G20)</f>
        <v/>
      </c>
    </row>
    <row r="22" spans="1:8" x14ac:dyDescent="0.3">
      <c r="A22" s="48" t="s">
        <v>216</v>
      </c>
      <c r="B22" s="50" t="str">
        <f>IF(COUNT(B21:G21)=0,"",SUM(B21:G21))</f>
        <v/>
      </c>
      <c r="C22" s="50" t="str">
        <f>IF(OR(C18="",C21=""),"",C18*C21)</f>
        <v/>
      </c>
      <c r="D22" s="50" t="str">
        <f>IF(OR(D18="",D21=""),"",D18*D21)</f>
        <v/>
      </c>
      <c r="E22" s="50" t="str">
        <f>IF(OR(E18="",E21=""),"",E18*E21)</f>
        <v/>
      </c>
      <c r="F22" s="50" t="str">
        <f>IF(OR(F18="",F21=""),"",F18*F21)</f>
        <v/>
      </c>
      <c r="G22" s="50" t="str">
        <f>IF(OR(G20="",G21=""),"",G20*G21)</f>
        <v/>
      </c>
    </row>
    <row r="23" spans="1:8" x14ac:dyDescent="0.3">
      <c r="A23" s="48" t="s">
        <v>216</v>
      </c>
      <c r="B23" s="50" t="str">
        <f>IF(COUNT(B22:G22)=0,"",SUM(B22:G22))</f>
        <v/>
      </c>
      <c r="C23" s="50"/>
      <c r="D23" s="50"/>
      <c r="E23" s="50"/>
      <c r="F23" s="50"/>
      <c r="G23" s="50"/>
      <c r="H23" t="str">
        <f>IF(OR(F21="",B13="",B22="",B13&lt;=B22),"",F21*(1+B22)/(B13-B22))</f>
        <v/>
      </c>
    </row>
    <row r="24" spans="1:8" x14ac:dyDescent="0.3">
      <c r="A24" s="48"/>
      <c r="B24" s="50"/>
      <c r="C24" s="50"/>
      <c r="D24" s="50"/>
      <c r="E24" s="50"/>
      <c r="F24" s="50"/>
      <c r="G24" s="50"/>
    </row>
    <row r="25" spans="1:8" x14ac:dyDescent="0.3">
      <c r="A25" s="107" t="s">
        <v>218</v>
      </c>
      <c r="B25" s="107"/>
      <c r="C25" s="107"/>
      <c r="D25" s="107"/>
      <c r="E25" s="50"/>
      <c r="F25" s="50"/>
      <c r="G25" s="50"/>
    </row>
    <row r="26" spans="1:8" x14ac:dyDescent="0.3">
      <c r="A26" s="48" t="s">
        <v>218</v>
      </c>
      <c r="B26" s="50" t="s">
        <v>219</v>
      </c>
      <c r="C26" s="48" t="s">
        <v>220</v>
      </c>
      <c r="D26" s="48" t="s">
        <v>221</v>
      </c>
      <c r="E26" s="48"/>
      <c r="F26" s="48"/>
      <c r="G26" s="48"/>
    </row>
    <row r="27" spans="1:8" x14ac:dyDescent="0.3">
      <c r="A27" s="48" t="s">
        <v>222</v>
      </c>
      <c r="B27" s="43">
        <v>6</v>
      </c>
      <c r="C27" s="50" t="str">
        <f>IF(OR(Fin_Inputs_Entity4!F9="",B14=""),"",Fin_Inputs_Entity4!F9*B14)</f>
        <v/>
      </c>
      <c r="D27" s="50" t="str">
        <f>IF(OR(B27="",C27=""),"",B27*C27)</f>
        <v/>
      </c>
      <c r="E27" s="48"/>
      <c r="F27" s="48"/>
      <c r="G27" s="48"/>
    </row>
    <row r="28" spans="1:8" x14ac:dyDescent="0.3">
      <c r="A28" s="49" t="s">
        <v>223</v>
      </c>
      <c r="B28" s="53">
        <v>1.5</v>
      </c>
      <c r="C28" s="51" t="str">
        <f>IF(OR(Fin_Inputs_Entity4!F5="",B14=""),"",Fin_Inputs_Entity4!F5*B14)</f>
        <v/>
      </c>
      <c r="D28" s="51" t="str">
        <f>IF(OR(B28="",C28=""),"",B28*C28)</f>
        <v/>
      </c>
      <c r="E28" s="49"/>
      <c r="F28" s="49"/>
      <c r="G28" s="49"/>
    </row>
    <row r="29" spans="1:8" x14ac:dyDescent="0.3">
      <c r="A29" s="48" t="s">
        <v>224</v>
      </c>
      <c r="B29" s="43">
        <v>10</v>
      </c>
      <c r="C29" s="50" t="str">
        <f>IF(OR(Fin_Inputs_Entity4!F14="",B14=""),"",Fin_Inputs_Entity4!F14*B14)</f>
        <v/>
      </c>
      <c r="D29" s="50" t="str">
        <f>IF(OR(B29="",C29=""),"",B29*C29)</f>
        <v/>
      </c>
      <c r="E29" s="48"/>
      <c r="F29" s="48"/>
      <c r="G29" s="48"/>
    </row>
    <row r="30" spans="1:8" x14ac:dyDescent="0.3">
      <c r="A30" s="48" t="s">
        <v>225</v>
      </c>
      <c r="B30" s="50" t="str">
        <f>IF(COUNT(D27:D29)=0,"",AVERAGE(D27:D29))</f>
        <v/>
      </c>
      <c r="C30" s="50"/>
      <c r="D30" s="50" t="str">
        <f>IF(COUNT(D27:D29)=0,"",AVERAGE(D27:D29))</f>
        <v/>
      </c>
      <c r="E30" s="48"/>
      <c r="F30" s="48"/>
      <c r="G30" s="48"/>
    </row>
    <row r="31" spans="1:8" x14ac:dyDescent="0.3">
      <c r="A31" s="48" t="s">
        <v>384</v>
      </c>
      <c r="B31" s="50" t="str">
        <f>IF(OR(Entity_Ownership!F7="",FX_Conversion!B7=""),"WARNING: Missing Country/Currency Data",IF(OR(B5="",B6="",B7="",B8="",B14=""),"WARNING: Incomplete CAPM / WACC / FX Chain",""))</f>
        <v>WARNING: Missing Country/Currency Data</v>
      </c>
      <c r="C31" s="48"/>
      <c r="D31" s="48"/>
      <c r="E31" s="48"/>
      <c r="F31" s="48"/>
      <c r="G31" s="48"/>
    </row>
    <row r="32" spans="1:8" x14ac:dyDescent="0.3">
      <c r="A32" s="48"/>
      <c r="B32" s="50"/>
      <c r="C32" s="48"/>
      <c r="D32" s="48"/>
      <c r="E32" s="48"/>
      <c r="F32" s="48"/>
      <c r="G32" s="48"/>
    </row>
    <row r="33" spans="1:7" x14ac:dyDescent="0.3">
      <c r="A33" s="107" t="s">
        <v>155</v>
      </c>
      <c r="B33" s="108"/>
      <c r="C33" s="107"/>
      <c r="D33" s="48"/>
      <c r="E33" s="48"/>
      <c r="F33" s="48"/>
      <c r="G33" s="48"/>
    </row>
    <row r="34" spans="1:7" x14ac:dyDescent="0.3">
      <c r="A34" s="48" t="s">
        <v>229</v>
      </c>
      <c r="B34" s="50" t="str">
        <f>B23</f>
        <v/>
      </c>
      <c r="C34" s="48" t="s">
        <v>623</v>
      </c>
      <c r="D34" s="48"/>
      <c r="E34" s="48"/>
      <c r="F34" s="48"/>
      <c r="G34" s="48"/>
    </row>
    <row r="35" spans="1:7" x14ac:dyDescent="0.3">
      <c r="A35" s="48" t="s">
        <v>578</v>
      </c>
      <c r="B35" s="50" t="str">
        <f>B30</f>
        <v/>
      </c>
      <c r="C35" s="48" t="s">
        <v>623</v>
      </c>
      <c r="D35" s="48"/>
      <c r="E35" s="48"/>
      <c r="F35" s="48"/>
      <c r="G35" s="48"/>
    </row>
    <row r="36" spans="1:7" x14ac:dyDescent="0.3">
      <c r="A36" s="48" t="s">
        <v>624</v>
      </c>
      <c r="B36" s="50" t="str">
        <f>IF(COUNT(B34:B35)=0,"",AVERAGE(B34:B35))</f>
        <v/>
      </c>
      <c r="C36" s="48" t="s">
        <v>623</v>
      </c>
      <c r="D36" s="48"/>
      <c r="E36" s="48"/>
      <c r="F36" s="48"/>
      <c r="G36" s="48"/>
    </row>
    <row r="37" spans="1:7" x14ac:dyDescent="0.3">
      <c r="A37" s="48" t="s">
        <v>231</v>
      </c>
      <c r="B37" s="50" t="str">
        <f>IF(B36="","",B36*IF(Entity_Ownership!C7="",1,Entity_Ownership!C7))</f>
        <v/>
      </c>
      <c r="C37" s="48" t="s">
        <v>625</v>
      </c>
      <c r="D37" s="48"/>
      <c r="E37" s="48"/>
      <c r="F37" s="48"/>
      <c r="G37" s="48"/>
    </row>
    <row r="38" spans="1:7" x14ac:dyDescent="0.3">
      <c r="A38" s="49"/>
      <c r="B38" s="51"/>
      <c r="C38" s="49"/>
      <c r="D38" s="49"/>
      <c r="E38" s="49"/>
      <c r="F38" s="49"/>
      <c r="G38" s="49"/>
    </row>
    <row r="39" spans="1:7" x14ac:dyDescent="0.3">
      <c r="A39" s="107" t="s">
        <v>626</v>
      </c>
      <c r="B39" s="107"/>
      <c r="C39" s="107"/>
      <c r="D39" s="107"/>
      <c r="E39" s="107"/>
      <c r="F39" s="107"/>
      <c r="G39" s="107"/>
    </row>
    <row r="40" spans="1:7" x14ac:dyDescent="0.3">
      <c r="A40" s="48" t="s">
        <v>627</v>
      </c>
      <c r="B40" s="54" t="s">
        <v>628</v>
      </c>
      <c r="C40" s="55" t="s">
        <v>629</v>
      </c>
      <c r="D40" s="55" t="s">
        <v>630</v>
      </c>
      <c r="E40" s="48"/>
      <c r="F40" s="48"/>
      <c r="G40" s="48"/>
    </row>
    <row r="41" spans="1:7" x14ac:dyDescent="0.3">
      <c r="A41" s="48" t="s">
        <v>631</v>
      </c>
      <c r="B41" s="50" t="e">
        <f>IF(OR($B$13="",$B$19="",$F$18="",($B$13-0.01)&lt;=($B$19-0.01)),"",SUM($B$21:$F$21)+($F$18*(1+($B$19-0.01))/(($B$13-0.01)-($B$19-0.01)))/(1+($B$13-0.01))^5)</f>
        <v>#VALUE!</v>
      </c>
      <c r="C41" s="50" t="e">
        <f>IF(OR($B$13="",$B$19="",$F$18="",($B$13-0.01)&lt;=($B$19)),"",SUM($B$21:$F$21)+($F$18*(1+$B$19)/(($B$13-0.01)-$B$19))/(1+($B$13-0.01))^5)</f>
        <v>#VALUE!</v>
      </c>
      <c r="D41" s="50" t="e">
        <f>IF(OR($B$13="",$B$19="",$F$18="",($B$13-0.01)&lt;=($B$19+0.01)),"",SUM($B$21:$F$21)+($F$18*(1+($B$19+0.01))/(($B$13-0.01)-($B$19+0.01)))/(1+($B$13-0.01))^5)</f>
        <v>#VALUE!</v>
      </c>
      <c r="E41" s="48"/>
      <c r="F41" s="48"/>
      <c r="G41" s="48"/>
    </row>
    <row r="42" spans="1:7" x14ac:dyDescent="0.3">
      <c r="A42" s="49" t="s">
        <v>632</v>
      </c>
      <c r="B42" s="51" t="str">
        <f>IF(OR($B$13="",$B$19="",$F$18="",($B$13)&lt;=($B$19-0.01)),"",SUM($B$21:$F$21)+($F$18*(1+($B$19-0.01))/($B$13-($B$19-0.01)))/(1+$B$13)^5)</f>
        <v/>
      </c>
      <c r="C42" s="51" t="str">
        <f>B22</f>
        <v/>
      </c>
      <c r="D42" s="51" t="str">
        <f>IF(OR($B$13="",$B$19="",$F$18="",($B$13)&lt;=($B$19+0.01)),"",SUM($B$21:$F$21)+($F$18*(1+($B$19+0.01))/($B$13-($B$19+0.01)))/(1+$B$13)^5)</f>
        <v/>
      </c>
      <c r="E42" s="49"/>
      <c r="F42" s="49"/>
      <c r="G42" s="49"/>
    </row>
    <row r="43" spans="1:7" x14ac:dyDescent="0.3">
      <c r="A43" s="48" t="s">
        <v>633</v>
      </c>
      <c r="B43" s="50" t="e">
        <f>IF(OR($B$13="",$B$19="",$F$18="",($B$13+0.01)&lt;=($B$19-0.01)),"",SUM($B$21:$F$21)+($F$18*(1+($B$19-0.01))/(($B$13+0.01)-($B$19-0.01)))/(1+($B$13+0.01))^5)</f>
        <v>#VALUE!</v>
      </c>
      <c r="C43" s="50" t="e">
        <f>IF(OR($B$13="",$B$19="",$F$18="",($B$13+0.01)&lt;=($B$19)),"",SUM($B$21:$F$21)+($F$18*(1+$B$19)/(($B$13+0.01)-$B$19))/(1+($B$13+0.01))^5)</f>
        <v>#VALUE!</v>
      </c>
      <c r="D43" s="50" t="e">
        <f>IF(OR($B$13="",$B$19="",$F$18="",($B$13+0.01)&lt;=($B$19+0.01)),"",SUM($B$21:$F$21)+($F$18*(1+($B$19+0.01))/(($B$13+0.01)-($B$19+0.01)))/(1+($B$13+0.01))^5)</f>
        <v>#VALUE!</v>
      </c>
      <c r="E43" s="48"/>
      <c r="F43" s="48"/>
      <c r="G43" s="48"/>
    </row>
    <row r="44" spans="1:7" x14ac:dyDescent="0.3">
      <c r="A44" s="48" t="s">
        <v>634</v>
      </c>
      <c r="B44" s="48" t="s">
        <v>641</v>
      </c>
      <c r="C44" s="48"/>
      <c r="D44" s="48"/>
      <c r="E44" s="48"/>
      <c r="F44" s="48"/>
      <c r="G44" s="48"/>
    </row>
    <row r="45" spans="1:7" x14ac:dyDescent="0.3">
      <c r="A45" s="48" t="s">
        <v>384</v>
      </c>
      <c r="B45" s="50" t="str">
        <f>IF(OR(Entity_Ownership!F7="",Entity_Ownership!G7=""),"WARNING: Missing Country/Currency Data",IF(B13="","WARNING: Incomplete CAPM / WACC Chain",""))</f>
        <v>WARNING: Missing Country/Currency Data</v>
      </c>
      <c r="C45" s="48"/>
      <c r="D45" s="48"/>
      <c r="E45" s="48"/>
      <c r="F45" s="48"/>
      <c r="G45" s="48"/>
    </row>
  </sheetData>
  <mergeCells count="6">
    <mergeCell ref="A39:G39"/>
    <mergeCell ref="A1:G1"/>
    <mergeCell ref="A3:C3"/>
    <mergeCell ref="A16:G16"/>
    <mergeCell ref="A25:D25"/>
    <mergeCell ref="A33:C3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7A5C-CD33-412A-814B-2E8754C6B69D}">
  <dimension ref="A1:H45"/>
  <sheetViews>
    <sheetView workbookViewId="0"/>
  </sheetViews>
  <sheetFormatPr defaultRowHeight="14.4" x14ac:dyDescent="0.3"/>
  <cols>
    <col min="1" max="1" width="23.109375" bestFit="1" customWidth="1"/>
    <col min="2" max="2" width="47.88671875" bestFit="1" customWidth="1"/>
    <col min="3" max="3" width="27.109375" bestFit="1" customWidth="1"/>
    <col min="4" max="4" width="9.33203125" bestFit="1" customWidth="1"/>
    <col min="5" max="6" width="6" bestFit="1" customWidth="1"/>
    <col min="7" max="7" width="8.33203125" bestFit="1" customWidth="1"/>
  </cols>
  <sheetData>
    <row r="1" spans="1:7" x14ac:dyDescent="0.3">
      <c r="A1" s="107" t="s">
        <v>642</v>
      </c>
      <c r="B1" s="107"/>
      <c r="C1" s="107"/>
      <c r="D1" s="107"/>
      <c r="E1" s="107"/>
      <c r="F1" s="107"/>
      <c r="G1" s="107"/>
    </row>
    <row r="2" spans="1:7" x14ac:dyDescent="0.3">
      <c r="A2" s="48"/>
      <c r="B2" s="43"/>
      <c r="C2" s="48"/>
      <c r="D2" s="48"/>
      <c r="E2" s="48"/>
      <c r="F2" s="48"/>
      <c r="G2" s="48"/>
    </row>
    <row r="3" spans="1:7" x14ac:dyDescent="0.3">
      <c r="A3" s="107" t="s">
        <v>190</v>
      </c>
      <c r="B3" s="107"/>
      <c r="C3" s="107"/>
      <c r="D3" s="49"/>
      <c r="E3" s="49"/>
      <c r="F3" s="49"/>
      <c r="G3" s="49"/>
    </row>
    <row r="4" spans="1:7" x14ac:dyDescent="0.3">
      <c r="A4" s="48" t="s">
        <v>16</v>
      </c>
      <c r="B4" s="48" t="s">
        <v>91</v>
      </c>
      <c r="C4" s="48" t="s">
        <v>90</v>
      </c>
      <c r="D4" s="48"/>
      <c r="E4" s="48"/>
      <c r="F4" s="48"/>
      <c r="G4" s="48"/>
    </row>
    <row r="5" spans="1:7" x14ac:dyDescent="0.3">
      <c r="A5" s="48" t="s">
        <v>191</v>
      </c>
      <c r="B5" s="50" t="str">
        <f>IF(AND(Entity_Ownership!$F$8&lt;&gt;"",UPPER(Entity_Ownership!$F$8)&lt;&gt;"UNITED STATES",COUNTIFS(Global_Rates!$B$4:$B$73,"Entity 5",Global_Rates!$A$4:$A$73,"Local 10-Year Government Bond Yield",Global_Rates!$F$4:$F$73,"&lt;&gt;")&gt;0),SUMIFS(Global_Rates!$F$4:$F$73,Global_Rates!$B$4:$B$73,"Entity 5",Global_Rates!$A$4:$A$73,"Local 10-Year Government Bond Yield"),IF(COUNTIFS(Global_Rates!$B$4:$B$73,"Entity 5",Global_Rates!$A$4:$A$73,"U.S. 10-Year Treasury",Global_Rates!$F$4:$F$73,"&lt;&gt;")&gt;0,SUMIFS(Global_Rates!$F$4:$F$73,Global_Rates!$B$4:$B$73,"Entity 5",Global_Rates!$A$4:$A$73,"U.S. 10-Year Treasury"),""))</f>
        <v/>
      </c>
      <c r="C5" s="48" t="s">
        <v>614</v>
      </c>
      <c r="D5" s="48"/>
      <c r="E5" s="48"/>
      <c r="F5" s="48"/>
      <c r="G5" s="48"/>
    </row>
    <row r="6" spans="1:7" x14ac:dyDescent="0.3">
      <c r="A6" s="48" t="s">
        <v>193</v>
      </c>
      <c r="B6" s="50" t="str">
        <f>IF(COUNTIFS(Global_Rates!$B$4:$B$73,"Entity 5",Global_Rates!$A$4:$A$73,"Beta",Global_Rates!$F$4:$F$73,"&lt;&gt;")&gt;0,SUMIFS(Global_Rates!$F$4:$F$73,Global_Rates!$B$4:$B$73,"Entity 5",Global_Rates!$A$4:$A$73,"Beta"),"")</f>
        <v/>
      </c>
      <c r="C6" s="48" t="s">
        <v>615</v>
      </c>
      <c r="D6" s="48"/>
      <c r="E6" s="48"/>
      <c r="F6" s="48"/>
      <c r="G6" s="48"/>
    </row>
    <row r="7" spans="1:7" x14ac:dyDescent="0.3">
      <c r="A7" s="48" t="s">
        <v>195</v>
      </c>
      <c r="B7" s="50" t="str">
        <f>IF(AND(Entity_Ownership!$F$8&lt;&gt;"",UPPER(Entity_Ownership!$F$8)&lt;&gt;"UNITED STATES",COUNTIFS(Global_Rates!$B$4:$B$73,"Entity 5",Global_Rates!$A$4:$A$73,"Local Market Risk Premium",Global_Rates!$F$4:$F$73,"&lt;&gt;")&gt;0),SUMIFS(Global_Rates!$F$4:$F$73,Global_Rates!$B$4:$B$73,"Entity 5",Global_Rates!$A$4:$A$73,"Local Market Risk Premium"),IF(COUNTIFS(Global_Rates!$B$4:$B$73,"Entity 5",Global_Rates!$A$4:$A$73,"U.S. Market Risk Premium",Global_Rates!$F$4:$F$73,"&lt;&gt;")&gt;0,SUMIFS(Global_Rates!$F$4:$F$73,Global_Rates!$B$4:$B$73,"Entity 5",Global_Rates!$A$4:$A$73,"U.S. Market Risk Premium"),""))</f>
        <v/>
      </c>
      <c r="C7" s="48" t="s">
        <v>614</v>
      </c>
      <c r="D7" s="48"/>
      <c r="E7" s="48"/>
      <c r="F7" s="48"/>
      <c r="G7" s="48"/>
    </row>
    <row r="8" spans="1:7" x14ac:dyDescent="0.3">
      <c r="A8" s="48" t="s">
        <v>197</v>
      </c>
      <c r="B8" s="50" t="str">
        <f>IF(AND(Entity_Ownership!$F$8&lt;&gt;"",UPPER(Entity_Ownership!$F$8)&lt;&gt;"UNITED STATES",COUNTIFS(Global_Rates!$B$4:$B$73,"Entity 5",Global_Rates!$A$4:$A$73,"Local Corporate Bond Yield",Global_Rates!$F$4:$F$73,"&lt;&gt;")&gt;0),SUMIFS(Global_Rates!$F$4:$F$73,Global_Rates!$B$4:$B$73,"Entity 5",Global_Rates!$A$4:$A$73,"Local Corporate Bond Yield"),IF(COUNTIFS(Global_Rates!$B$4:$B$73,"Entity 5",Global_Rates!$A$4:$A$73,"U.S. Corporate Bond Yield",Global_Rates!$F$4:$F$73,"&lt;&gt;")&gt;0,SUMIFS(Global_Rates!$F$4:$F$73,Global_Rates!$B$4:$B$73,"Entity 5",Global_Rates!$A$4:$A$73,"U.S. Corporate Bond Yield"),""))</f>
        <v/>
      </c>
      <c r="C8" s="48" t="s">
        <v>616</v>
      </c>
      <c r="D8" s="48"/>
      <c r="E8" s="48"/>
      <c r="F8" s="48"/>
      <c r="G8" s="48"/>
    </row>
    <row r="9" spans="1:7" x14ac:dyDescent="0.3">
      <c r="A9" s="48" t="s">
        <v>199</v>
      </c>
      <c r="B9" s="50" t="str">
        <f>IF(OR(Fin_Inputs_Entity5!F13="",Fin_Inputs_Entity5!F11="",Fin_Inputs_Entity5!F11=0),"",ABS(Fin_Inputs_Entity5!F13/Fin_Inputs_Entity5!F11))</f>
        <v/>
      </c>
      <c r="C9" s="48" t="s">
        <v>617</v>
      </c>
      <c r="D9" s="48"/>
      <c r="E9" s="48"/>
      <c r="F9" s="48"/>
      <c r="G9" s="48"/>
    </row>
    <row r="10" spans="1:7" x14ac:dyDescent="0.3">
      <c r="A10" s="48" t="s">
        <v>201</v>
      </c>
      <c r="B10" s="50" t="str">
        <f>IF((N(Fin_Inputs_Entity5!F26)+N(Fin_Inputs_Entity5!F27)+N(Fin_Inputs_Entity5!F29))=0,"",(N(Fin_Inputs_Entity5!F26)+N(Fin_Inputs_Entity5!F27))/(N(Fin_Inputs_Entity5!F26)+N(Fin_Inputs_Entity5!F27)+N(Fin_Inputs_Entity5!F29)))</f>
        <v/>
      </c>
      <c r="C10" s="48" t="s">
        <v>618</v>
      </c>
      <c r="D10" s="48"/>
      <c r="E10" s="48"/>
      <c r="F10" s="48"/>
      <c r="G10" s="48"/>
    </row>
    <row r="11" spans="1:7" x14ac:dyDescent="0.3">
      <c r="A11" s="48" t="s">
        <v>203</v>
      </c>
      <c r="B11" s="50" t="str">
        <f>IF((N(Fin_Inputs_Entity5!F26)+N(Fin_Inputs_Entity5!F27)+N(Fin_Inputs_Entity5!F29))=0,"",N(Fin_Inputs_Entity5!F29)/(N(Fin_Inputs_Entity5!F26)+N(Fin_Inputs_Entity5!F27)+N(Fin_Inputs_Entity5!F29)))</f>
        <v/>
      </c>
      <c r="C11" s="48" t="s">
        <v>619</v>
      </c>
      <c r="D11" s="48"/>
      <c r="E11" s="48"/>
      <c r="F11" s="48"/>
      <c r="G11" s="48"/>
    </row>
    <row r="12" spans="1:7" x14ac:dyDescent="0.3">
      <c r="A12" s="48" t="s">
        <v>205</v>
      </c>
      <c r="B12" s="50" t="str">
        <f>IF(COUNT(B5:B7)&lt;3,"",B5+B6*B7)</f>
        <v/>
      </c>
      <c r="C12" s="48" t="s">
        <v>452</v>
      </c>
      <c r="D12" s="48"/>
      <c r="E12" s="48"/>
      <c r="F12" s="48"/>
      <c r="G12" s="48"/>
    </row>
    <row r="13" spans="1:7" x14ac:dyDescent="0.3">
      <c r="A13" s="48" t="s">
        <v>207</v>
      </c>
      <c r="B13" s="50" t="str">
        <f>IF(COUNT(B8:B12)&lt;5,"",(B11*B12)+(B10*B8*(1-B9)))</f>
        <v/>
      </c>
      <c r="C13" s="48" t="s">
        <v>620</v>
      </c>
      <c r="D13" s="48"/>
      <c r="E13" s="48"/>
      <c r="F13" s="48"/>
      <c r="G13" s="48"/>
    </row>
    <row r="14" spans="1:7" x14ac:dyDescent="0.3">
      <c r="A14" s="48" t="s">
        <v>621</v>
      </c>
      <c r="B14" s="50" t="str">
        <f>IF(FX_Rate_Entity5="","",FX_Rate_Entity5)</f>
        <v/>
      </c>
      <c r="C14" s="48" t="s">
        <v>622</v>
      </c>
      <c r="D14" s="48"/>
      <c r="E14" s="48"/>
      <c r="F14" s="48"/>
      <c r="G14" s="48"/>
    </row>
    <row r="15" spans="1:7" x14ac:dyDescent="0.3">
      <c r="A15" s="48" t="s">
        <v>209</v>
      </c>
      <c r="B15" s="50"/>
      <c r="C15" s="48"/>
      <c r="D15" s="48"/>
      <c r="E15" s="48"/>
      <c r="F15" s="48"/>
      <c r="G15" s="48"/>
    </row>
    <row r="16" spans="1:7" x14ac:dyDescent="0.3">
      <c r="A16" s="107" t="s">
        <v>155</v>
      </c>
      <c r="B16" s="108"/>
      <c r="C16" s="107"/>
      <c r="D16" s="107"/>
      <c r="E16" s="107"/>
      <c r="F16" s="107"/>
      <c r="G16" s="107"/>
    </row>
    <row r="17" spans="1:8" x14ac:dyDescent="0.3">
      <c r="A17" s="49" t="s">
        <v>211</v>
      </c>
      <c r="B17" s="51" t="s">
        <v>108</v>
      </c>
      <c r="C17" s="51" t="s">
        <v>109</v>
      </c>
      <c r="D17" s="51" t="s">
        <v>110</v>
      </c>
      <c r="E17" s="51" t="s">
        <v>111</v>
      </c>
      <c r="F17" s="51" t="s">
        <v>112</v>
      </c>
      <c r="G17" s="51" t="s">
        <v>210</v>
      </c>
    </row>
    <row r="18" spans="1:8" x14ac:dyDescent="0.3">
      <c r="A18" s="48" t="s">
        <v>212</v>
      </c>
      <c r="B18" s="50" t="str">
        <f>IF(OR(Fin_Inputs_Entity5!B37="",B14=""),"",Fin_Inputs_Entity5!B37*B14*(1+N(Scenario_Analysis!$E$4)-N(Scenario_Analysis!$E$6)-N(Scenario_Analysis!$E$7)))</f>
        <v/>
      </c>
      <c r="C18" s="50" t="str">
        <f>IF(OR(Fin_Inputs_Entity5!C37="",B14=""),"",Fin_Inputs_Entity5!C37*B14*(1+N(Scenario_Analysis!$E$4)-N(Scenario_Analysis!$E$6)-N(Scenario_Analysis!$E$7)))</f>
        <v/>
      </c>
      <c r="D18" s="50" t="str">
        <f>IF(OR(Fin_Inputs_Entity5!D37="",B14=""),"",Fin_Inputs_Entity5!D37*B14*(1+N(Scenario_Analysis!$E$4)-N(Scenario_Analysis!$E$6)-N(Scenario_Analysis!$E$7)))</f>
        <v/>
      </c>
      <c r="E18" s="50" t="str">
        <f>IF(OR(Fin_Inputs_Entity5!E37="",B14=""),"",Fin_Inputs_Entity5!E37*B14*(1+N(Scenario_Analysis!$E$4)-N(Scenario_Analysis!$E$6)-N(Scenario_Analysis!$E$7)))</f>
        <v/>
      </c>
      <c r="F18" s="50" t="str">
        <f>IF(OR(Fin_Inputs_Entity5!F37="",B14=""),"",Fin_Inputs_Entity5!F37*B14*(1+N(Scenario_Analysis!$E$4)-N(Scenario_Analysis!$E$6)-N(Scenario_Analysis!$E$7)))</f>
        <v/>
      </c>
      <c r="G18" s="50"/>
    </row>
    <row r="19" spans="1:8" x14ac:dyDescent="0.3">
      <c r="A19" s="48" t="s">
        <v>213</v>
      </c>
      <c r="B19" s="52">
        <v>0.02</v>
      </c>
      <c r="C19" s="52"/>
      <c r="D19" s="52"/>
      <c r="E19" s="52"/>
      <c r="F19" s="52"/>
      <c r="G19" s="50" t="str">
        <f>IF(OR(F18="",B13="",B19="",B13&lt;=B19),"",F18*(1+B19)/(B13-B19))</f>
        <v/>
      </c>
    </row>
    <row r="20" spans="1:8" x14ac:dyDescent="0.3">
      <c r="A20" s="48" t="s">
        <v>214</v>
      </c>
      <c r="B20" s="50" t="str">
        <f>IF(B13="","",1/(1+B13)^1)</f>
        <v/>
      </c>
      <c r="C20" s="50" t="str">
        <f>IF(B13="","",1/(1+B13)^2)</f>
        <v/>
      </c>
      <c r="D20" s="50" t="str">
        <f>IF(B13="","",1/(1+B13)^3)</f>
        <v/>
      </c>
      <c r="E20" s="50" t="str">
        <f>IF(B13="","",1/(1+B13)^4)</f>
        <v/>
      </c>
      <c r="F20" s="50" t="str">
        <f>IF(B13="","",1/(1+B13)^5)</f>
        <v/>
      </c>
      <c r="G20" s="50" t="str">
        <f>IF(B13="","",1/(1+B13)^5)</f>
        <v/>
      </c>
    </row>
    <row r="21" spans="1:8" x14ac:dyDescent="0.3">
      <c r="A21" s="48" t="s">
        <v>215</v>
      </c>
      <c r="B21" s="50" t="str">
        <f>IF(OR(B18="",B20=""),"",B18*B20)</f>
        <v/>
      </c>
      <c r="C21" s="50" t="str">
        <f>IF(OR(C18="",C20=""),"",C18*C20)</f>
        <v/>
      </c>
      <c r="D21" s="50" t="str">
        <f>IF(OR(D18="",D20=""),"",D18*D20)</f>
        <v/>
      </c>
      <c r="E21" s="50" t="str">
        <f>IF(OR(E18="",E20=""),"",E18*E20)</f>
        <v/>
      </c>
      <c r="F21" s="50" t="str">
        <f>IF(OR(F18="",F20=""),"",F18*F20)</f>
        <v/>
      </c>
      <c r="G21" s="50" t="str">
        <f>IF(OR(G19="",G20=""),"",G19*G20)</f>
        <v/>
      </c>
    </row>
    <row r="22" spans="1:8" x14ac:dyDescent="0.3">
      <c r="A22" s="48" t="s">
        <v>216</v>
      </c>
      <c r="B22" s="50" t="str">
        <f>IF(COUNT(B21:G21)=0,"",SUM(B21:G21))</f>
        <v/>
      </c>
      <c r="C22" s="50" t="str">
        <f>IF(OR(C18="",C21=""),"",C18*C21)</f>
        <v/>
      </c>
      <c r="D22" s="50" t="str">
        <f>IF(OR(D18="",D21=""),"",D18*D21)</f>
        <v/>
      </c>
      <c r="E22" s="50" t="str">
        <f>IF(OR(E18="",E21=""),"",E18*E21)</f>
        <v/>
      </c>
      <c r="F22" s="50" t="str">
        <f>IF(OR(F18="",F21=""),"",F18*F21)</f>
        <v/>
      </c>
      <c r="G22" s="50" t="str">
        <f>IF(OR(G20="",G21=""),"",G20*G21)</f>
        <v/>
      </c>
    </row>
    <row r="23" spans="1:8" x14ac:dyDescent="0.3">
      <c r="A23" s="48" t="s">
        <v>216</v>
      </c>
      <c r="B23" s="50" t="str">
        <f>IF(COUNT(B22:G22)=0,"",SUM(B22:G22))</f>
        <v/>
      </c>
      <c r="C23" s="50"/>
      <c r="D23" s="50"/>
      <c r="E23" s="50"/>
      <c r="F23" s="50"/>
      <c r="G23" s="50"/>
      <c r="H23" t="str">
        <f>IF(OR(F21="",B13="",B22="",B13&lt;=B22),"",F21*(1+B22)/(B13-B22))</f>
        <v/>
      </c>
    </row>
    <row r="24" spans="1:8" x14ac:dyDescent="0.3">
      <c r="A24" s="48"/>
      <c r="B24" s="50"/>
      <c r="C24" s="50"/>
      <c r="D24" s="50"/>
      <c r="E24" s="50"/>
      <c r="F24" s="50"/>
      <c r="G24" s="50"/>
    </row>
    <row r="25" spans="1:8" x14ac:dyDescent="0.3">
      <c r="A25" s="107" t="s">
        <v>218</v>
      </c>
      <c r="B25" s="107"/>
      <c r="C25" s="107"/>
      <c r="D25" s="107"/>
      <c r="E25" s="50"/>
      <c r="F25" s="50"/>
      <c r="G25" s="50"/>
    </row>
    <row r="26" spans="1:8" x14ac:dyDescent="0.3">
      <c r="A26" s="48" t="s">
        <v>218</v>
      </c>
      <c r="B26" s="50" t="s">
        <v>219</v>
      </c>
      <c r="C26" s="48" t="s">
        <v>220</v>
      </c>
      <c r="D26" s="48" t="s">
        <v>221</v>
      </c>
      <c r="E26" s="48"/>
      <c r="F26" s="48"/>
      <c r="G26" s="48"/>
    </row>
    <row r="27" spans="1:8" x14ac:dyDescent="0.3">
      <c r="A27" s="48" t="s">
        <v>222</v>
      </c>
      <c r="B27" s="43">
        <v>6</v>
      </c>
      <c r="C27" s="50" t="str">
        <f>IF(OR(Fin_Inputs_Entity5!F9="",B14=""),"",Fin_Inputs_Entity5!F9*B14)</f>
        <v/>
      </c>
      <c r="D27" s="50" t="str">
        <f>IF(OR(B27="",C27=""),"",B27*C27)</f>
        <v/>
      </c>
      <c r="E27" s="48"/>
      <c r="F27" s="48"/>
      <c r="G27" s="48"/>
    </row>
    <row r="28" spans="1:8" x14ac:dyDescent="0.3">
      <c r="A28" s="49" t="s">
        <v>223</v>
      </c>
      <c r="B28" s="53">
        <v>1.5</v>
      </c>
      <c r="C28" s="51" t="str">
        <f>IF(OR(Fin_Inputs_Entity5!F5="",B14=""),"",Fin_Inputs_Entity5!F5*B14)</f>
        <v/>
      </c>
      <c r="D28" s="51" t="str">
        <f>IF(OR(B28="",C28=""),"",B28*C28)</f>
        <v/>
      </c>
      <c r="E28" s="49"/>
      <c r="F28" s="49"/>
      <c r="G28" s="49"/>
    </row>
    <row r="29" spans="1:8" x14ac:dyDescent="0.3">
      <c r="A29" s="48" t="s">
        <v>224</v>
      </c>
      <c r="B29" s="43">
        <v>10</v>
      </c>
      <c r="C29" s="50" t="str">
        <f>IF(OR(Fin_Inputs_Entity5!F14="",B14=""),"",Fin_Inputs_Entity5!F14*B14)</f>
        <v/>
      </c>
      <c r="D29" s="50" t="str">
        <f>IF(OR(B29="",C29=""),"",B29*C29)</f>
        <v/>
      </c>
      <c r="E29" s="48"/>
      <c r="F29" s="48"/>
      <c r="G29" s="48"/>
    </row>
    <row r="30" spans="1:8" x14ac:dyDescent="0.3">
      <c r="A30" s="48" t="s">
        <v>225</v>
      </c>
      <c r="B30" s="50" t="str">
        <f>IF(COUNT(D27:D29)=0,"",AVERAGE(D27:D29))</f>
        <v/>
      </c>
      <c r="C30" s="50"/>
      <c r="D30" s="50" t="str">
        <f>IF(COUNT(D27:D29)=0,"",AVERAGE(D27:D29))</f>
        <v/>
      </c>
      <c r="E30" s="48"/>
      <c r="F30" s="48"/>
      <c r="G30" s="48"/>
    </row>
    <row r="31" spans="1:8" x14ac:dyDescent="0.3">
      <c r="A31" s="48" t="s">
        <v>384</v>
      </c>
      <c r="B31" s="50" t="str">
        <f>IF(OR(Entity_Ownership!F8="",FX_Conversion!B8=""),"WARNING: Missing Country/Currency Data",IF(OR(B5="",B6="",B7="",B8="",B14=""),"WARNING: Incomplete CAPM / WACC / FX Chain",""))</f>
        <v>WARNING: Missing Country/Currency Data</v>
      </c>
      <c r="C31" s="48"/>
      <c r="D31" s="48"/>
      <c r="E31" s="48"/>
      <c r="F31" s="48"/>
      <c r="G31" s="48"/>
    </row>
    <row r="32" spans="1:8" x14ac:dyDescent="0.3">
      <c r="A32" s="48"/>
      <c r="B32" s="50"/>
      <c r="C32" s="48"/>
      <c r="D32" s="48"/>
      <c r="E32" s="48"/>
      <c r="F32" s="48"/>
      <c r="G32" s="48"/>
    </row>
    <row r="33" spans="1:7" x14ac:dyDescent="0.3">
      <c r="A33" s="107" t="s">
        <v>155</v>
      </c>
      <c r="B33" s="108"/>
      <c r="C33" s="107"/>
      <c r="D33" s="48"/>
      <c r="E33" s="48"/>
      <c r="F33" s="48"/>
      <c r="G33" s="48"/>
    </row>
    <row r="34" spans="1:7" x14ac:dyDescent="0.3">
      <c r="A34" s="48" t="s">
        <v>229</v>
      </c>
      <c r="B34" s="50" t="str">
        <f>B23</f>
        <v/>
      </c>
      <c r="C34" s="48" t="s">
        <v>623</v>
      </c>
      <c r="D34" s="48"/>
      <c r="E34" s="48"/>
      <c r="F34" s="48"/>
      <c r="G34" s="48"/>
    </row>
    <row r="35" spans="1:7" x14ac:dyDescent="0.3">
      <c r="A35" s="48" t="s">
        <v>578</v>
      </c>
      <c r="B35" s="50" t="str">
        <f>B30</f>
        <v/>
      </c>
      <c r="C35" s="48" t="s">
        <v>623</v>
      </c>
      <c r="D35" s="48"/>
      <c r="E35" s="48"/>
      <c r="F35" s="48"/>
      <c r="G35" s="48"/>
    </row>
    <row r="36" spans="1:7" x14ac:dyDescent="0.3">
      <c r="A36" s="48" t="s">
        <v>624</v>
      </c>
      <c r="B36" s="50" t="str">
        <f>IF(COUNT(B34:B35)=0,"",AVERAGE(B34:B35))</f>
        <v/>
      </c>
      <c r="C36" s="48" t="s">
        <v>623</v>
      </c>
      <c r="D36" s="48"/>
      <c r="E36" s="48"/>
      <c r="F36" s="48"/>
      <c r="G36" s="48"/>
    </row>
    <row r="37" spans="1:7" x14ac:dyDescent="0.3">
      <c r="A37" s="48" t="s">
        <v>231</v>
      </c>
      <c r="B37" s="50" t="str">
        <f>IF(B36="","",B36*IF(Entity_Ownership!C8="",1,Entity_Ownership!C8))</f>
        <v/>
      </c>
      <c r="C37" s="48" t="s">
        <v>625</v>
      </c>
      <c r="D37" s="48"/>
      <c r="E37" s="48"/>
      <c r="F37" s="48"/>
      <c r="G37" s="48"/>
    </row>
    <row r="38" spans="1:7" x14ac:dyDescent="0.3">
      <c r="A38" s="49"/>
      <c r="B38" s="51"/>
      <c r="C38" s="49"/>
      <c r="D38" s="49"/>
      <c r="E38" s="49"/>
      <c r="F38" s="49"/>
      <c r="G38" s="49"/>
    </row>
    <row r="39" spans="1:7" x14ac:dyDescent="0.3">
      <c r="A39" s="107" t="s">
        <v>626</v>
      </c>
      <c r="B39" s="107"/>
      <c r="C39" s="107"/>
      <c r="D39" s="107"/>
      <c r="E39" s="107"/>
      <c r="F39" s="107"/>
      <c r="G39" s="107"/>
    </row>
    <row r="40" spans="1:7" x14ac:dyDescent="0.3">
      <c r="A40" s="48" t="s">
        <v>627</v>
      </c>
      <c r="B40" s="54" t="s">
        <v>628</v>
      </c>
      <c r="C40" s="55" t="s">
        <v>629</v>
      </c>
      <c r="D40" s="55" t="s">
        <v>630</v>
      </c>
      <c r="E40" s="48"/>
      <c r="F40" s="48"/>
      <c r="G40" s="48"/>
    </row>
    <row r="41" spans="1:7" x14ac:dyDescent="0.3">
      <c r="A41" s="48" t="s">
        <v>631</v>
      </c>
      <c r="B41" s="50" t="e">
        <f>IF(OR($B$13="",$B$19="",$F$18="",($B$13-0.01)&lt;=($B$19-0.01)),"",SUM($B$21:$F$21)+($F$18*(1+($B$19-0.01))/(($B$13-0.01)-($B$19-0.01)))/(1+($B$13-0.01))^5)</f>
        <v>#VALUE!</v>
      </c>
      <c r="C41" s="50" t="e">
        <f>IF(OR($B$13="",$B$19="",$F$18="",($B$13-0.01)&lt;=($B$19)),"",SUM($B$21:$F$21)+($F$18*(1+$B$19)/(($B$13-0.01)-$B$19))/(1+($B$13-0.01))^5)</f>
        <v>#VALUE!</v>
      </c>
      <c r="D41" s="50" t="e">
        <f>IF(OR($B$13="",$B$19="",$F$18="",($B$13-0.01)&lt;=($B$19+0.01)),"",SUM($B$21:$F$21)+($F$18*(1+($B$19+0.01))/(($B$13-0.01)-($B$19+0.01)))/(1+($B$13-0.01))^5)</f>
        <v>#VALUE!</v>
      </c>
      <c r="E41" s="48"/>
      <c r="F41" s="48"/>
      <c r="G41" s="48"/>
    </row>
    <row r="42" spans="1:7" x14ac:dyDescent="0.3">
      <c r="A42" s="49" t="s">
        <v>632</v>
      </c>
      <c r="B42" s="51" t="str">
        <f>IF(OR($B$13="",$B$19="",$F$18="",($B$13)&lt;=($B$19-0.01)),"",SUM($B$21:$F$21)+($F$18*(1+($B$19-0.01))/($B$13-($B$19-0.01)))/(1+$B$13)^5)</f>
        <v/>
      </c>
      <c r="C42" s="51" t="str">
        <f>B22</f>
        <v/>
      </c>
      <c r="D42" s="51" t="str">
        <f>IF(OR($B$13="",$B$19="",$F$18="",($B$13)&lt;=($B$19+0.01)),"",SUM($B$21:$F$21)+($F$18*(1+($B$19+0.01))/($B$13-($B$19+0.01)))/(1+$B$13)^5)</f>
        <v/>
      </c>
      <c r="E42" s="49"/>
      <c r="F42" s="49"/>
      <c r="G42" s="49"/>
    </row>
    <row r="43" spans="1:7" x14ac:dyDescent="0.3">
      <c r="A43" s="48" t="s">
        <v>633</v>
      </c>
      <c r="B43" s="50" t="e">
        <f>IF(OR($B$13="",$B$19="",$F$18="",($B$13+0.01)&lt;=($B$19-0.01)),"",SUM($B$21:$F$21)+($F$18*(1+($B$19-0.01))/(($B$13+0.01)-($B$19-0.01)))/(1+($B$13+0.01))^5)</f>
        <v>#VALUE!</v>
      </c>
      <c r="C43" s="50" t="e">
        <f>IF(OR($B$13="",$B$19="",$F$18="",($B$13+0.01)&lt;=($B$19)),"",SUM($B$21:$F$21)+($F$18*(1+$B$19)/(($B$13+0.01)-$B$19))/(1+($B$13+0.01))^5)</f>
        <v>#VALUE!</v>
      </c>
      <c r="D43" s="50" t="e">
        <f>IF(OR($B$13="",$B$19="",$F$18="",($B$13+0.01)&lt;=($B$19+0.01)),"",SUM($B$21:$F$21)+($F$18*(1+($B$19+0.01))/(($B$13+0.01)-($B$19+0.01)))/(1+($B$13+0.01))^5)</f>
        <v>#VALUE!</v>
      </c>
      <c r="E43" s="48"/>
      <c r="F43" s="48"/>
      <c r="G43" s="48"/>
    </row>
    <row r="44" spans="1:7" x14ac:dyDescent="0.3">
      <c r="A44" s="48" t="s">
        <v>634</v>
      </c>
      <c r="B44" s="48" t="s">
        <v>643</v>
      </c>
      <c r="C44" s="48"/>
      <c r="D44" s="48"/>
      <c r="E44" s="48"/>
      <c r="F44" s="48"/>
      <c r="G44" s="48"/>
    </row>
    <row r="45" spans="1:7" x14ac:dyDescent="0.3">
      <c r="A45" s="48" t="s">
        <v>384</v>
      </c>
      <c r="B45" s="50" t="str">
        <f>IF(OR(Entity_Ownership!F8="",Entity_Ownership!G8=""),"WARNING: Missing Country/Currency Data",IF(B13="","WARNING: Incomplete CAPM / WACC Chain",""))</f>
        <v>WARNING: Missing Country/Currency Data</v>
      </c>
      <c r="C45" s="48"/>
      <c r="D45" s="48"/>
      <c r="E45" s="48"/>
      <c r="F45" s="48"/>
      <c r="G45" s="48"/>
    </row>
  </sheetData>
  <mergeCells count="6">
    <mergeCell ref="A39:G39"/>
    <mergeCell ref="A1:G1"/>
    <mergeCell ref="A3:C3"/>
    <mergeCell ref="A16:G16"/>
    <mergeCell ref="A25:D25"/>
    <mergeCell ref="A33:C3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985D-5322-40C1-A97A-26EADE007E3E}">
  <dimension ref="A1:H45"/>
  <sheetViews>
    <sheetView workbookViewId="0"/>
  </sheetViews>
  <sheetFormatPr defaultRowHeight="14.4" x14ac:dyDescent="0.3"/>
  <cols>
    <col min="1" max="1" width="23.109375" bestFit="1" customWidth="1"/>
    <col min="2" max="2" width="47.88671875" bestFit="1" customWidth="1"/>
    <col min="3" max="3" width="27.109375" bestFit="1" customWidth="1"/>
    <col min="4" max="4" width="9.33203125" bestFit="1" customWidth="1"/>
    <col min="5" max="6" width="6" bestFit="1" customWidth="1"/>
    <col min="7" max="7" width="8.33203125" bestFit="1" customWidth="1"/>
  </cols>
  <sheetData>
    <row r="1" spans="1:7" x14ac:dyDescent="0.3">
      <c r="A1" s="107" t="s">
        <v>644</v>
      </c>
      <c r="B1" s="107"/>
      <c r="C1" s="107"/>
      <c r="D1" s="107"/>
      <c r="E1" s="107"/>
      <c r="F1" s="107"/>
      <c r="G1" s="107"/>
    </row>
    <row r="2" spans="1:7" x14ac:dyDescent="0.3">
      <c r="A2" s="48"/>
      <c r="B2" s="43"/>
      <c r="C2" s="48"/>
      <c r="D2" s="48"/>
      <c r="E2" s="48"/>
      <c r="F2" s="48"/>
      <c r="G2" s="48"/>
    </row>
    <row r="3" spans="1:7" x14ac:dyDescent="0.3">
      <c r="A3" s="107" t="s">
        <v>190</v>
      </c>
      <c r="B3" s="107"/>
      <c r="C3" s="107"/>
      <c r="D3" s="49"/>
      <c r="E3" s="49"/>
      <c r="F3" s="49"/>
      <c r="G3" s="49"/>
    </row>
    <row r="4" spans="1:7" x14ac:dyDescent="0.3">
      <c r="A4" s="48" t="s">
        <v>16</v>
      </c>
      <c r="B4" s="48" t="s">
        <v>91</v>
      </c>
      <c r="C4" s="48" t="s">
        <v>90</v>
      </c>
      <c r="D4" s="48"/>
      <c r="E4" s="48"/>
      <c r="F4" s="48"/>
      <c r="G4" s="48"/>
    </row>
    <row r="5" spans="1:7" x14ac:dyDescent="0.3">
      <c r="A5" s="48" t="s">
        <v>191</v>
      </c>
      <c r="B5" s="50" t="str">
        <f>IF(AND(Entity_Ownership!$F$9&lt;&gt;"",UPPER(Entity_Ownership!$F$9)&lt;&gt;"UNITED STATES",COUNTIFS(Global_Rates!$B$4:$B$73,"Entity 6",Global_Rates!$A$4:$A$73,"Local 10-Year Government Bond Yield",Global_Rates!$F$4:$F$73,"&lt;&gt;")&gt;0),SUMIFS(Global_Rates!$F$4:$F$73,Global_Rates!$B$4:$B$73,"Entity 6",Global_Rates!$A$4:$A$73,"Local 10-Year Government Bond Yield"),IF(COUNTIFS(Global_Rates!$B$4:$B$73,"Entity 6",Global_Rates!$A$4:$A$73,"U.S. 10-Year Treasury",Global_Rates!$F$4:$F$73,"&lt;&gt;")&gt;0,SUMIFS(Global_Rates!$F$4:$F$73,Global_Rates!$B$4:$B$73,"Entity 6",Global_Rates!$A$4:$A$73,"U.S. 10-Year Treasury"),""))</f>
        <v/>
      </c>
      <c r="C5" s="48" t="s">
        <v>614</v>
      </c>
      <c r="D5" s="48"/>
      <c r="E5" s="48"/>
      <c r="F5" s="48"/>
      <c r="G5" s="48"/>
    </row>
    <row r="6" spans="1:7" x14ac:dyDescent="0.3">
      <c r="A6" s="48" t="s">
        <v>193</v>
      </c>
      <c r="B6" s="50" t="str">
        <f>IF(COUNTIFS(Global_Rates!$B$4:$B$73,"Entity 6",Global_Rates!$A$4:$A$73,"Beta",Global_Rates!$F$4:$F$73,"&lt;&gt;")&gt;0,SUMIFS(Global_Rates!$F$4:$F$73,Global_Rates!$B$4:$B$73,"Entity 6",Global_Rates!$A$4:$A$73,"Beta"),"")</f>
        <v/>
      </c>
      <c r="C6" s="48" t="s">
        <v>615</v>
      </c>
      <c r="D6" s="48"/>
      <c r="E6" s="48"/>
      <c r="F6" s="48"/>
      <c r="G6" s="48"/>
    </row>
    <row r="7" spans="1:7" x14ac:dyDescent="0.3">
      <c r="A7" s="48" t="s">
        <v>195</v>
      </c>
      <c r="B7" s="50" t="str">
        <f>IF(AND(Entity_Ownership!$F$9&lt;&gt;"",UPPER(Entity_Ownership!$F$9)&lt;&gt;"UNITED STATES",COUNTIFS(Global_Rates!$B$4:$B$73,"Entity 6",Global_Rates!$A$4:$A$73,"Local Market Risk Premium",Global_Rates!$F$4:$F$73,"&lt;&gt;")&gt;0),SUMIFS(Global_Rates!$F$4:$F$73,Global_Rates!$B$4:$B$73,"Entity 6",Global_Rates!$A$4:$A$73,"Local Market Risk Premium"),IF(COUNTIFS(Global_Rates!$B$4:$B$73,"Entity 6",Global_Rates!$A$4:$A$73,"U.S. Market Risk Premium",Global_Rates!$F$4:$F$73,"&lt;&gt;")&gt;0,SUMIFS(Global_Rates!$F$4:$F$73,Global_Rates!$B$4:$B$73,"Entity 6",Global_Rates!$A$4:$A$73,"U.S. Market Risk Premium"),""))</f>
        <v/>
      </c>
      <c r="C7" s="48" t="s">
        <v>614</v>
      </c>
      <c r="D7" s="48"/>
      <c r="E7" s="48"/>
      <c r="F7" s="48"/>
      <c r="G7" s="48"/>
    </row>
    <row r="8" spans="1:7" x14ac:dyDescent="0.3">
      <c r="A8" s="48" t="s">
        <v>197</v>
      </c>
      <c r="B8" s="50" t="str">
        <f>IF(AND(Entity_Ownership!$F$9&lt;&gt;"",UPPER(Entity_Ownership!$F$9)&lt;&gt;"UNITED STATES",COUNTIFS(Global_Rates!$B$4:$B$73,"Entity 6",Global_Rates!$A$4:$A$73,"Local Corporate Bond Yield",Global_Rates!$F$4:$F$73,"&lt;&gt;")&gt;0),SUMIFS(Global_Rates!$F$4:$F$73,Global_Rates!$B$4:$B$73,"Entity 6",Global_Rates!$A$4:$A$73,"Local Corporate Bond Yield"),IF(COUNTIFS(Global_Rates!$B$4:$B$73,"Entity 6",Global_Rates!$A$4:$A$73,"U.S. Corporate Bond Yield",Global_Rates!$F$4:$F$73,"&lt;&gt;")&gt;0,SUMIFS(Global_Rates!$F$4:$F$73,Global_Rates!$B$4:$B$73,"Entity 6",Global_Rates!$A$4:$A$73,"U.S. Corporate Bond Yield"),""))</f>
        <v/>
      </c>
      <c r="C8" s="48" t="s">
        <v>616</v>
      </c>
      <c r="D8" s="48"/>
      <c r="E8" s="48"/>
      <c r="F8" s="48"/>
      <c r="G8" s="48"/>
    </row>
    <row r="9" spans="1:7" x14ac:dyDescent="0.3">
      <c r="A9" s="48" t="s">
        <v>199</v>
      </c>
      <c r="B9" s="50" t="str">
        <f>IF(OR(Fin_Inputs_Entity6!F13="",Fin_Inputs_Entity6!F11="",Fin_Inputs_Entity6!F11=0),"",ABS(Fin_Inputs_Entity6!F13/Fin_Inputs_Entity6!F11))</f>
        <v/>
      </c>
      <c r="C9" s="48" t="s">
        <v>617</v>
      </c>
      <c r="D9" s="48"/>
      <c r="E9" s="48"/>
      <c r="F9" s="48"/>
      <c r="G9" s="48"/>
    </row>
    <row r="10" spans="1:7" x14ac:dyDescent="0.3">
      <c r="A10" s="48" t="s">
        <v>201</v>
      </c>
      <c r="B10" s="50" t="str">
        <f>IF((N(Fin_Inputs_Entity6!F26)+N(Fin_Inputs_Entity6!F27)+N(Fin_Inputs_Entity6!F29))=0,"",(N(Fin_Inputs_Entity6!F26)+N(Fin_Inputs_Entity6!F27))/(N(Fin_Inputs_Entity6!F26)+N(Fin_Inputs_Entity6!F27)+N(Fin_Inputs_Entity6!F29)))</f>
        <v/>
      </c>
      <c r="C10" s="48" t="s">
        <v>618</v>
      </c>
      <c r="D10" s="48"/>
      <c r="E10" s="48"/>
      <c r="F10" s="48"/>
      <c r="G10" s="48"/>
    </row>
    <row r="11" spans="1:7" x14ac:dyDescent="0.3">
      <c r="A11" s="48" t="s">
        <v>203</v>
      </c>
      <c r="B11" s="50" t="str">
        <f>IF((N(Fin_Inputs_Entity6!F26)+N(Fin_Inputs_Entity6!F27)+N(Fin_Inputs_Entity6!F29))=0,"",N(Fin_Inputs_Entity6!F29)/(N(Fin_Inputs_Entity6!F26)+N(Fin_Inputs_Entity6!F27)+N(Fin_Inputs_Entity6!F29)))</f>
        <v/>
      </c>
      <c r="C11" s="48" t="s">
        <v>619</v>
      </c>
      <c r="D11" s="48"/>
      <c r="E11" s="48"/>
      <c r="F11" s="48"/>
      <c r="G11" s="48"/>
    </row>
    <row r="12" spans="1:7" x14ac:dyDescent="0.3">
      <c r="A12" s="48" t="s">
        <v>205</v>
      </c>
      <c r="B12" s="50" t="str">
        <f>IF(COUNT(B5:B7)&lt;3,"",B5+B6*B7)</f>
        <v/>
      </c>
      <c r="C12" s="48" t="s">
        <v>452</v>
      </c>
      <c r="D12" s="48"/>
      <c r="E12" s="48"/>
      <c r="F12" s="48"/>
      <c r="G12" s="48"/>
    </row>
    <row r="13" spans="1:7" x14ac:dyDescent="0.3">
      <c r="A13" s="48" t="s">
        <v>207</v>
      </c>
      <c r="B13" s="50" t="str">
        <f>IF(COUNT(B8:B12)&lt;5,"",(B11*B12)+(B10*B8*(1-B9)))</f>
        <v/>
      </c>
      <c r="C13" s="48" t="s">
        <v>620</v>
      </c>
      <c r="D13" s="48"/>
      <c r="E13" s="48"/>
      <c r="F13" s="48"/>
      <c r="G13" s="48"/>
    </row>
    <row r="14" spans="1:7" x14ac:dyDescent="0.3">
      <c r="A14" s="48" t="s">
        <v>621</v>
      </c>
      <c r="B14" s="50" t="str">
        <f>IF(FX_Rate_Entity6="","",FX_Rate_Entity6)</f>
        <v/>
      </c>
      <c r="C14" s="48" t="s">
        <v>622</v>
      </c>
      <c r="D14" s="48"/>
      <c r="E14" s="48"/>
      <c r="F14" s="48"/>
      <c r="G14" s="48"/>
    </row>
    <row r="15" spans="1:7" x14ac:dyDescent="0.3">
      <c r="A15" s="48" t="s">
        <v>209</v>
      </c>
      <c r="B15" s="50"/>
      <c r="C15" s="48"/>
      <c r="D15" s="48"/>
      <c r="E15" s="48"/>
      <c r="F15" s="48"/>
      <c r="G15" s="48"/>
    </row>
    <row r="16" spans="1:7" x14ac:dyDescent="0.3">
      <c r="A16" s="107" t="s">
        <v>155</v>
      </c>
      <c r="B16" s="108"/>
      <c r="C16" s="107"/>
      <c r="D16" s="107"/>
      <c r="E16" s="107"/>
      <c r="F16" s="107"/>
      <c r="G16" s="107"/>
    </row>
    <row r="17" spans="1:8" x14ac:dyDescent="0.3">
      <c r="A17" s="49" t="s">
        <v>211</v>
      </c>
      <c r="B17" s="51" t="s">
        <v>108</v>
      </c>
      <c r="C17" s="51" t="s">
        <v>109</v>
      </c>
      <c r="D17" s="51" t="s">
        <v>110</v>
      </c>
      <c r="E17" s="51" t="s">
        <v>111</v>
      </c>
      <c r="F17" s="51" t="s">
        <v>112</v>
      </c>
      <c r="G17" s="51" t="s">
        <v>210</v>
      </c>
    </row>
    <row r="18" spans="1:8" x14ac:dyDescent="0.3">
      <c r="A18" s="48" t="s">
        <v>212</v>
      </c>
      <c r="B18" s="50" t="str">
        <f>IF(OR(Fin_Inputs_Entity6!B37="",B14=""),"",Fin_Inputs_Entity6!B37*B14*(1+N(Scenario_Analysis!$E$4)-N(Scenario_Analysis!$E$6)-N(Scenario_Analysis!$E$7)))</f>
        <v/>
      </c>
      <c r="C18" s="50" t="str">
        <f>IF(OR(Fin_Inputs_Entity6!C37="",B14=""),"",Fin_Inputs_Entity6!C37*B14*(1+N(Scenario_Analysis!$E$4)-N(Scenario_Analysis!$E$6)-N(Scenario_Analysis!$E$7)))</f>
        <v/>
      </c>
      <c r="D18" s="50" t="str">
        <f>IF(OR(Fin_Inputs_Entity6!D37="",B14=""),"",Fin_Inputs_Entity6!D37*B14*(1+N(Scenario_Analysis!$E$4)-N(Scenario_Analysis!$E$6)-N(Scenario_Analysis!$E$7)))</f>
        <v/>
      </c>
      <c r="E18" s="50" t="str">
        <f>IF(OR(Fin_Inputs_Entity6!E37="",B14=""),"",Fin_Inputs_Entity6!E37*B14*(1+N(Scenario_Analysis!$E$4)-N(Scenario_Analysis!$E$6)-N(Scenario_Analysis!$E$7)))</f>
        <v/>
      </c>
      <c r="F18" s="50" t="str">
        <f>IF(OR(Fin_Inputs_Entity6!F37="",B14=""),"",Fin_Inputs_Entity6!F37*B14*(1+N(Scenario_Analysis!$E$4)-N(Scenario_Analysis!$E$6)-N(Scenario_Analysis!$E$7)))</f>
        <v/>
      </c>
      <c r="G18" s="50"/>
    </row>
    <row r="19" spans="1:8" x14ac:dyDescent="0.3">
      <c r="A19" s="48" t="s">
        <v>213</v>
      </c>
      <c r="B19" s="52">
        <v>0.02</v>
      </c>
      <c r="C19" s="52"/>
      <c r="D19" s="52"/>
      <c r="E19" s="52"/>
      <c r="F19" s="52"/>
      <c r="G19" s="50" t="str">
        <f>IF(OR(F18="",B13="",B19="",B13&lt;=B19),"",F18*(1+B19)/(B13-B19))</f>
        <v/>
      </c>
    </row>
    <row r="20" spans="1:8" x14ac:dyDescent="0.3">
      <c r="A20" s="48" t="s">
        <v>214</v>
      </c>
      <c r="B20" s="50" t="str">
        <f>IF(B13="","",1/(1+B13)^1)</f>
        <v/>
      </c>
      <c r="C20" s="50" t="str">
        <f>IF(B13="","",1/(1+B13)^2)</f>
        <v/>
      </c>
      <c r="D20" s="50" t="str">
        <f>IF(B13="","",1/(1+B13)^3)</f>
        <v/>
      </c>
      <c r="E20" s="50" t="str">
        <f>IF(B13="","",1/(1+B13)^4)</f>
        <v/>
      </c>
      <c r="F20" s="50" t="str">
        <f>IF(B13="","",1/(1+B13)^5)</f>
        <v/>
      </c>
      <c r="G20" s="50" t="str">
        <f>IF(B13="","",1/(1+B13)^5)</f>
        <v/>
      </c>
    </row>
    <row r="21" spans="1:8" x14ac:dyDescent="0.3">
      <c r="A21" s="48" t="s">
        <v>215</v>
      </c>
      <c r="B21" s="50" t="str">
        <f>IF(OR(B18="",B20=""),"",B18*B20)</f>
        <v/>
      </c>
      <c r="C21" s="50" t="str">
        <f>IF(OR(C18="",C20=""),"",C18*C20)</f>
        <v/>
      </c>
      <c r="D21" s="50" t="str">
        <f>IF(OR(D18="",D20=""),"",D18*D20)</f>
        <v/>
      </c>
      <c r="E21" s="50" t="str">
        <f>IF(OR(E18="",E20=""),"",E18*E20)</f>
        <v/>
      </c>
      <c r="F21" s="50" t="str">
        <f>IF(OR(F18="",F20=""),"",F18*F20)</f>
        <v/>
      </c>
      <c r="G21" s="50" t="str">
        <f>IF(OR(G19="",G20=""),"",G19*G20)</f>
        <v/>
      </c>
    </row>
    <row r="22" spans="1:8" x14ac:dyDescent="0.3">
      <c r="A22" s="48" t="s">
        <v>216</v>
      </c>
      <c r="B22" s="50" t="str">
        <f>IF(COUNT(B21:G21)=0,"",SUM(B21:G21))</f>
        <v/>
      </c>
      <c r="C22" s="50" t="str">
        <f>IF(OR(C18="",C21=""),"",C18*C21)</f>
        <v/>
      </c>
      <c r="D22" s="50" t="str">
        <f>IF(OR(D18="",D21=""),"",D18*D21)</f>
        <v/>
      </c>
      <c r="E22" s="50" t="str">
        <f>IF(OR(E18="",E21=""),"",E18*E21)</f>
        <v/>
      </c>
      <c r="F22" s="50" t="str">
        <f>IF(OR(F18="",F21=""),"",F18*F21)</f>
        <v/>
      </c>
      <c r="G22" s="50" t="str">
        <f>IF(OR(G20="",G21=""),"",G20*G21)</f>
        <v/>
      </c>
    </row>
    <row r="23" spans="1:8" x14ac:dyDescent="0.3">
      <c r="A23" s="48" t="s">
        <v>216</v>
      </c>
      <c r="B23" s="50" t="str">
        <f>IF(COUNT(B22:G22)=0,"",SUM(B22:G22))</f>
        <v/>
      </c>
      <c r="C23" s="50"/>
      <c r="D23" s="50"/>
      <c r="E23" s="50"/>
      <c r="F23" s="50"/>
      <c r="G23" s="50"/>
      <c r="H23" t="str">
        <f>IF(OR(F21="",B13="",B22="",B13&lt;=B22),"",F21*(1+B22)/(B13-B22))</f>
        <v/>
      </c>
    </row>
    <row r="24" spans="1:8" x14ac:dyDescent="0.3">
      <c r="A24" s="48"/>
      <c r="B24" s="50"/>
      <c r="C24" s="50"/>
      <c r="D24" s="50"/>
      <c r="E24" s="50"/>
      <c r="F24" s="50"/>
      <c r="G24" s="50"/>
    </row>
    <row r="25" spans="1:8" x14ac:dyDescent="0.3">
      <c r="A25" s="107" t="s">
        <v>218</v>
      </c>
      <c r="B25" s="107"/>
      <c r="C25" s="107"/>
      <c r="D25" s="107"/>
      <c r="E25" s="50"/>
      <c r="F25" s="50"/>
      <c r="G25" s="50"/>
    </row>
    <row r="26" spans="1:8" x14ac:dyDescent="0.3">
      <c r="A26" s="48" t="s">
        <v>218</v>
      </c>
      <c r="B26" s="50" t="s">
        <v>219</v>
      </c>
      <c r="C26" s="48" t="s">
        <v>220</v>
      </c>
      <c r="D26" s="48" t="s">
        <v>221</v>
      </c>
      <c r="E26" s="48"/>
      <c r="F26" s="48"/>
      <c r="G26" s="48"/>
    </row>
    <row r="27" spans="1:8" x14ac:dyDescent="0.3">
      <c r="A27" s="48" t="s">
        <v>222</v>
      </c>
      <c r="B27" s="43">
        <v>6</v>
      </c>
      <c r="C27" s="50" t="str">
        <f>IF(OR(Fin_Inputs_Entity6!F9="",B14=""),"",Fin_Inputs_Entity6!F9*B14)</f>
        <v/>
      </c>
      <c r="D27" s="50" t="str">
        <f>IF(OR(B27="",C27=""),"",B27*C27)</f>
        <v/>
      </c>
      <c r="E27" s="48"/>
      <c r="F27" s="48"/>
      <c r="G27" s="48"/>
    </row>
    <row r="28" spans="1:8" x14ac:dyDescent="0.3">
      <c r="A28" s="49" t="s">
        <v>223</v>
      </c>
      <c r="B28" s="53">
        <v>1.5</v>
      </c>
      <c r="C28" s="51" t="str">
        <f>IF(OR(Fin_Inputs_Entity6!F5="",B14=""),"",Fin_Inputs_Entity6!F5*B14)</f>
        <v/>
      </c>
      <c r="D28" s="51" t="str">
        <f>IF(OR(B28="",C28=""),"",B28*C28)</f>
        <v/>
      </c>
      <c r="E28" s="49"/>
      <c r="F28" s="49"/>
      <c r="G28" s="49"/>
    </row>
    <row r="29" spans="1:8" x14ac:dyDescent="0.3">
      <c r="A29" s="48" t="s">
        <v>224</v>
      </c>
      <c r="B29" s="43">
        <v>10</v>
      </c>
      <c r="C29" s="50" t="str">
        <f>IF(OR(Fin_Inputs_Entity6!F14="",B14=""),"",Fin_Inputs_Entity6!F14*B14)</f>
        <v/>
      </c>
      <c r="D29" s="50" t="str">
        <f>IF(OR(B29="",C29=""),"",B29*C29)</f>
        <v/>
      </c>
      <c r="E29" s="48"/>
      <c r="F29" s="48"/>
      <c r="G29" s="48"/>
    </row>
    <row r="30" spans="1:8" x14ac:dyDescent="0.3">
      <c r="A30" s="48" t="s">
        <v>225</v>
      </c>
      <c r="B30" s="50" t="str">
        <f>IF(COUNT(D27:D29)=0,"",AVERAGE(D27:D29))</f>
        <v/>
      </c>
      <c r="C30" s="50"/>
      <c r="D30" s="50" t="str">
        <f>IF(COUNT(D27:D29)=0,"",AVERAGE(D27:D29))</f>
        <v/>
      </c>
      <c r="E30" s="48"/>
      <c r="F30" s="48"/>
      <c r="G30" s="48"/>
    </row>
    <row r="31" spans="1:8" x14ac:dyDescent="0.3">
      <c r="A31" s="48" t="s">
        <v>384</v>
      </c>
      <c r="B31" s="50" t="str">
        <f>IF(OR(Entity_Ownership!F9="",FX_Conversion!B9=""),"WARNING: Missing Country/Currency Data",IF(OR(B5="",B6="",B7="",B8="",B14=""),"WARNING: Incomplete CAPM / WACC / FX Chain",""))</f>
        <v>WARNING: Missing Country/Currency Data</v>
      </c>
      <c r="C31" s="48"/>
      <c r="D31" s="48"/>
      <c r="E31" s="48"/>
      <c r="F31" s="48"/>
      <c r="G31" s="48"/>
    </row>
    <row r="32" spans="1:8" x14ac:dyDescent="0.3">
      <c r="A32" s="48"/>
      <c r="B32" s="50"/>
      <c r="C32" s="48"/>
      <c r="D32" s="48"/>
      <c r="E32" s="48"/>
      <c r="F32" s="48"/>
      <c r="G32" s="48"/>
    </row>
    <row r="33" spans="1:7" x14ac:dyDescent="0.3">
      <c r="A33" s="107" t="s">
        <v>155</v>
      </c>
      <c r="B33" s="108"/>
      <c r="C33" s="107"/>
      <c r="D33" s="48"/>
      <c r="E33" s="48"/>
      <c r="F33" s="48"/>
      <c r="G33" s="48"/>
    </row>
    <row r="34" spans="1:7" x14ac:dyDescent="0.3">
      <c r="A34" s="48" t="s">
        <v>229</v>
      </c>
      <c r="B34" s="50" t="str">
        <f>B23</f>
        <v/>
      </c>
      <c r="C34" s="48" t="s">
        <v>623</v>
      </c>
      <c r="D34" s="48"/>
      <c r="E34" s="48"/>
      <c r="F34" s="48"/>
      <c r="G34" s="48"/>
    </row>
    <row r="35" spans="1:7" x14ac:dyDescent="0.3">
      <c r="A35" s="48" t="s">
        <v>578</v>
      </c>
      <c r="B35" s="50" t="str">
        <f>B30</f>
        <v/>
      </c>
      <c r="C35" s="48" t="s">
        <v>623</v>
      </c>
      <c r="D35" s="48"/>
      <c r="E35" s="48"/>
      <c r="F35" s="48"/>
      <c r="G35" s="48"/>
    </row>
    <row r="36" spans="1:7" x14ac:dyDescent="0.3">
      <c r="A36" s="48" t="s">
        <v>624</v>
      </c>
      <c r="B36" s="50" t="str">
        <f>IF(COUNT(B34:B35)=0,"",AVERAGE(B34:B35))</f>
        <v/>
      </c>
      <c r="C36" s="48" t="s">
        <v>623</v>
      </c>
      <c r="D36" s="48"/>
      <c r="E36" s="48"/>
      <c r="F36" s="48"/>
      <c r="G36" s="48"/>
    </row>
    <row r="37" spans="1:7" x14ac:dyDescent="0.3">
      <c r="A37" s="48" t="s">
        <v>231</v>
      </c>
      <c r="B37" s="50" t="str">
        <f>IF(B36="","",B36*IF(Entity_Ownership!C9="",1,Entity_Ownership!C9))</f>
        <v/>
      </c>
      <c r="C37" s="48" t="s">
        <v>625</v>
      </c>
      <c r="D37" s="48"/>
      <c r="E37" s="48"/>
      <c r="F37" s="48"/>
      <c r="G37" s="48"/>
    </row>
    <row r="38" spans="1:7" x14ac:dyDescent="0.3">
      <c r="A38" s="49"/>
      <c r="B38" s="51"/>
      <c r="C38" s="49"/>
      <c r="D38" s="49"/>
      <c r="E38" s="49"/>
      <c r="F38" s="49"/>
      <c r="G38" s="49"/>
    </row>
    <row r="39" spans="1:7" x14ac:dyDescent="0.3">
      <c r="A39" s="107" t="s">
        <v>626</v>
      </c>
      <c r="B39" s="107"/>
      <c r="C39" s="107"/>
      <c r="D39" s="107"/>
      <c r="E39" s="107"/>
      <c r="F39" s="107"/>
      <c r="G39" s="107"/>
    </row>
    <row r="40" spans="1:7" x14ac:dyDescent="0.3">
      <c r="A40" s="48" t="s">
        <v>627</v>
      </c>
      <c r="B40" s="54" t="s">
        <v>628</v>
      </c>
      <c r="C40" s="55" t="s">
        <v>629</v>
      </c>
      <c r="D40" s="55" t="s">
        <v>630</v>
      </c>
      <c r="E40" s="48"/>
      <c r="F40" s="48"/>
      <c r="G40" s="48"/>
    </row>
    <row r="41" spans="1:7" x14ac:dyDescent="0.3">
      <c r="A41" s="48" t="s">
        <v>631</v>
      </c>
      <c r="B41" s="50" t="e">
        <f>IF(OR($B$13="",$B$19="",$F$18="",($B$13-0.01)&lt;=($B$19-0.01)),"",SUM($B$21:$F$21)+($F$18*(1+($B$19-0.01))/(($B$13-0.01)-($B$19-0.01)))/(1+($B$13-0.01))^5)</f>
        <v>#VALUE!</v>
      </c>
      <c r="C41" s="50" t="e">
        <f>IF(OR($B$13="",$B$19="",$F$18="",($B$13-0.01)&lt;=($B$19)),"",SUM($B$21:$F$21)+($F$18*(1+$B$19)/(($B$13-0.01)-$B$19))/(1+($B$13-0.01))^5)</f>
        <v>#VALUE!</v>
      </c>
      <c r="D41" s="50" t="e">
        <f>IF(OR($B$13="",$B$19="",$F$18="",($B$13-0.01)&lt;=($B$19+0.01)),"",SUM($B$21:$F$21)+($F$18*(1+($B$19+0.01))/(($B$13-0.01)-($B$19+0.01)))/(1+($B$13-0.01))^5)</f>
        <v>#VALUE!</v>
      </c>
      <c r="E41" s="48"/>
      <c r="F41" s="48"/>
      <c r="G41" s="48"/>
    </row>
    <row r="42" spans="1:7" x14ac:dyDescent="0.3">
      <c r="A42" s="49" t="s">
        <v>632</v>
      </c>
      <c r="B42" s="51" t="str">
        <f>IF(OR($B$13="",$B$19="",$F$18="",($B$13)&lt;=($B$19-0.01)),"",SUM($B$21:$F$21)+($F$18*(1+($B$19-0.01))/($B$13-($B$19-0.01)))/(1+$B$13)^5)</f>
        <v/>
      </c>
      <c r="C42" s="51" t="str">
        <f>B22</f>
        <v/>
      </c>
      <c r="D42" s="51" t="str">
        <f>IF(OR($B$13="",$B$19="",$F$18="",($B$13)&lt;=($B$19+0.01)),"",SUM($B$21:$F$21)+($F$18*(1+($B$19+0.01))/($B$13-($B$19+0.01)))/(1+$B$13)^5)</f>
        <v/>
      </c>
      <c r="E42" s="49"/>
      <c r="F42" s="49"/>
      <c r="G42" s="49"/>
    </row>
    <row r="43" spans="1:7" x14ac:dyDescent="0.3">
      <c r="A43" s="48" t="s">
        <v>633</v>
      </c>
      <c r="B43" s="50" t="e">
        <f>IF(OR($B$13="",$B$19="",$F$18="",($B$13+0.01)&lt;=($B$19-0.01)),"",SUM($B$21:$F$21)+($F$18*(1+($B$19-0.01))/(($B$13+0.01)-($B$19-0.01)))/(1+($B$13+0.01))^5)</f>
        <v>#VALUE!</v>
      </c>
      <c r="C43" s="50" t="e">
        <f>IF(OR($B$13="",$B$19="",$F$18="",($B$13+0.01)&lt;=($B$19)),"",SUM($B$21:$F$21)+($F$18*(1+$B$19)/(($B$13+0.01)-$B$19))/(1+($B$13+0.01))^5)</f>
        <v>#VALUE!</v>
      </c>
      <c r="D43" s="50" t="e">
        <f>IF(OR($B$13="",$B$19="",$F$18="",($B$13+0.01)&lt;=($B$19+0.01)),"",SUM($B$21:$F$21)+($F$18*(1+($B$19+0.01))/(($B$13+0.01)-($B$19+0.01)))/(1+($B$13+0.01))^5)</f>
        <v>#VALUE!</v>
      </c>
      <c r="E43" s="48"/>
      <c r="F43" s="48"/>
      <c r="G43" s="48"/>
    </row>
    <row r="44" spans="1:7" x14ac:dyDescent="0.3">
      <c r="A44" s="48" t="s">
        <v>634</v>
      </c>
      <c r="B44" s="48" t="s">
        <v>645</v>
      </c>
      <c r="C44" s="48"/>
      <c r="D44" s="48"/>
      <c r="E44" s="48"/>
      <c r="F44" s="48"/>
      <c r="G44" s="48"/>
    </row>
    <row r="45" spans="1:7" x14ac:dyDescent="0.3">
      <c r="A45" s="48" t="s">
        <v>384</v>
      </c>
      <c r="B45" s="50" t="str">
        <f>IF(OR(Entity_Ownership!F9="",Entity_Ownership!G9=""),"WARNING: Missing Country/Currency Data",IF(B13="","WARNING: Incomplete CAPM / WACC Chain",""))</f>
        <v>WARNING: Missing Country/Currency Data</v>
      </c>
      <c r="C45" s="48"/>
      <c r="D45" s="48"/>
      <c r="E45" s="48"/>
      <c r="F45" s="48"/>
      <c r="G45" s="48"/>
    </row>
  </sheetData>
  <mergeCells count="6">
    <mergeCell ref="A39:G39"/>
    <mergeCell ref="A1:G1"/>
    <mergeCell ref="A3:C3"/>
    <mergeCell ref="A16:G16"/>
    <mergeCell ref="A25:D25"/>
    <mergeCell ref="A33:C3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604D-F2A3-4F27-8D8C-A193CFE8B9D2}">
  <dimension ref="A1:H45"/>
  <sheetViews>
    <sheetView workbookViewId="0"/>
  </sheetViews>
  <sheetFormatPr defaultRowHeight="14.4" x14ac:dyDescent="0.3"/>
  <cols>
    <col min="1" max="1" width="23.109375" bestFit="1" customWidth="1"/>
    <col min="2" max="2" width="47.88671875" bestFit="1" customWidth="1"/>
    <col min="3" max="3" width="27.109375" bestFit="1" customWidth="1"/>
    <col min="4" max="4" width="9.33203125" bestFit="1" customWidth="1"/>
    <col min="5" max="6" width="6" bestFit="1" customWidth="1"/>
    <col min="7" max="7" width="8.33203125" bestFit="1" customWidth="1"/>
  </cols>
  <sheetData>
    <row r="1" spans="1:7" x14ac:dyDescent="0.3">
      <c r="A1" s="107" t="s">
        <v>646</v>
      </c>
      <c r="B1" s="107"/>
      <c r="C1" s="107"/>
      <c r="D1" s="107"/>
      <c r="E1" s="107"/>
      <c r="F1" s="107"/>
      <c r="G1" s="107"/>
    </row>
    <row r="2" spans="1:7" x14ac:dyDescent="0.3">
      <c r="A2" s="48"/>
      <c r="B2" s="43"/>
      <c r="C2" s="48"/>
      <c r="D2" s="48"/>
      <c r="E2" s="48"/>
      <c r="F2" s="48"/>
      <c r="G2" s="48"/>
    </row>
    <row r="3" spans="1:7" x14ac:dyDescent="0.3">
      <c r="A3" s="107" t="s">
        <v>190</v>
      </c>
      <c r="B3" s="107"/>
      <c r="C3" s="107"/>
      <c r="D3" s="49"/>
      <c r="E3" s="49"/>
      <c r="F3" s="49"/>
      <c r="G3" s="49"/>
    </row>
    <row r="4" spans="1:7" x14ac:dyDescent="0.3">
      <c r="A4" s="48" t="s">
        <v>16</v>
      </c>
      <c r="B4" s="48" t="s">
        <v>91</v>
      </c>
      <c r="C4" s="48" t="s">
        <v>90</v>
      </c>
      <c r="D4" s="48"/>
      <c r="E4" s="48"/>
      <c r="F4" s="48"/>
      <c r="G4" s="48"/>
    </row>
    <row r="5" spans="1:7" x14ac:dyDescent="0.3">
      <c r="A5" s="48" t="s">
        <v>191</v>
      </c>
      <c r="B5" s="50" t="str">
        <f>IF(AND(Entity_Ownership!$F$10&lt;&gt;"",UPPER(Entity_Ownership!$F$10)&lt;&gt;"UNITED STATES",COUNTIFS(Global_Rates!$B$4:$B$73,"Entity 7",Global_Rates!$A$4:$A$73,"Local 10-Year Government Bond Yield",Global_Rates!$F$4:$F$73,"&lt;&gt;")&gt;0),SUMIFS(Global_Rates!$F$4:$F$73,Global_Rates!$B$4:$B$73,"Entity 7",Global_Rates!$A$4:$A$73,"Local 10-Year Government Bond Yield"),IF(COUNTIFS(Global_Rates!$B$4:$B$73,"Entity 7",Global_Rates!$A$4:$A$73,"U.S. 10-Year Treasury",Global_Rates!$F$4:$F$73,"&lt;&gt;")&gt;0,SUMIFS(Global_Rates!$F$4:$F$73,Global_Rates!$B$4:$B$73,"Entity 7",Global_Rates!$A$4:$A$73,"U.S. 10-Year Treasury"),""))</f>
        <v/>
      </c>
      <c r="C5" s="48" t="s">
        <v>614</v>
      </c>
      <c r="D5" s="48"/>
      <c r="E5" s="48"/>
      <c r="F5" s="48"/>
      <c r="G5" s="48"/>
    </row>
    <row r="6" spans="1:7" x14ac:dyDescent="0.3">
      <c r="A6" s="48" t="s">
        <v>193</v>
      </c>
      <c r="B6" s="50" t="str">
        <f>IF(COUNTIFS(Global_Rates!$B$4:$B$73,"Entity 7",Global_Rates!$A$4:$A$73,"Beta",Global_Rates!$F$4:$F$73,"&lt;&gt;")&gt;0,SUMIFS(Global_Rates!$F$4:$F$73,Global_Rates!$B$4:$B$73,"Entity 7",Global_Rates!$A$4:$A$73,"Beta"),"")</f>
        <v/>
      </c>
      <c r="C6" s="48" t="s">
        <v>615</v>
      </c>
      <c r="D6" s="48"/>
      <c r="E6" s="48"/>
      <c r="F6" s="48"/>
      <c r="G6" s="48"/>
    </row>
    <row r="7" spans="1:7" x14ac:dyDescent="0.3">
      <c r="A7" s="48" t="s">
        <v>195</v>
      </c>
      <c r="B7" s="50" t="str">
        <f>IF(AND(Entity_Ownership!$F$10&lt;&gt;"",UPPER(Entity_Ownership!$F$10)&lt;&gt;"UNITED STATES",COUNTIFS(Global_Rates!$B$4:$B$73,"Entity 7",Global_Rates!$A$4:$A$73,"Local Market Risk Premium",Global_Rates!$F$4:$F$73,"&lt;&gt;")&gt;0),SUMIFS(Global_Rates!$F$4:$F$73,Global_Rates!$B$4:$B$73,"Entity 7",Global_Rates!$A$4:$A$73,"Local Market Risk Premium"),IF(COUNTIFS(Global_Rates!$B$4:$B$73,"Entity 7",Global_Rates!$A$4:$A$73,"U.S. Market Risk Premium",Global_Rates!$F$4:$F$73,"&lt;&gt;")&gt;0,SUMIFS(Global_Rates!$F$4:$F$73,Global_Rates!$B$4:$B$73,"Entity 7",Global_Rates!$A$4:$A$73,"U.S. Market Risk Premium"),""))</f>
        <v/>
      </c>
      <c r="C7" s="48" t="s">
        <v>614</v>
      </c>
      <c r="D7" s="48"/>
      <c r="E7" s="48"/>
      <c r="F7" s="48"/>
      <c r="G7" s="48"/>
    </row>
    <row r="8" spans="1:7" x14ac:dyDescent="0.3">
      <c r="A8" s="48" t="s">
        <v>197</v>
      </c>
      <c r="B8" s="50" t="str">
        <f>IF(AND(Entity_Ownership!$F$10&lt;&gt;"",UPPER(Entity_Ownership!$F$10)&lt;&gt;"UNITED STATES",COUNTIFS(Global_Rates!$B$4:$B$73,"Entity 7",Global_Rates!$A$4:$A$73,"Local Corporate Bond Yield",Global_Rates!$F$4:$F$73,"&lt;&gt;")&gt;0),SUMIFS(Global_Rates!$F$4:$F$73,Global_Rates!$B$4:$B$73,"Entity 7",Global_Rates!$A$4:$A$73,"Local Corporate Bond Yield"),IF(COUNTIFS(Global_Rates!$B$4:$B$73,"Entity 7",Global_Rates!$A$4:$A$73,"U.S. Corporate Bond Yield",Global_Rates!$F$4:$F$73,"&lt;&gt;")&gt;0,SUMIFS(Global_Rates!$F$4:$F$73,Global_Rates!$B$4:$B$73,"Entity 7",Global_Rates!$A$4:$A$73,"U.S. Corporate Bond Yield"),""))</f>
        <v/>
      </c>
      <c r="C8" s="48" t="s">
        <v>616</v>
      </c>
      <c r="D8" s="48"/>
      <c r="E8" s="48"/>
      <c r="F8" s="48"/>
      <c r="G8" s="48"/>
    </row>
    <row r="9" spans="1:7" x14ac:dyDescent="0.3">
      <c r="A9" s="48" t="s">
        <v>199</v>
      </c>
      <c r="B9" s="50" t="str">
        <f>IF(OR(Fin_Inputs_Entity7!F13="",Fin_Inputs_Entity7!F11="",Fin_Inputs_Entity7!F11=0),"",ABS(Fin_Inputs_Entity7!F13/Fin_Inputs_Entity7!F11))</f>
        <v/>
      </c>
      <c r="C9" s="48" t="s">
        <v>617</v>
      </c>
      <c r="D9" s="48"/>
      <c r="E9" s="48"/>
      <c r="F9" s="48"/>
      <c r="G9" s="48"/>
    </row>
    <row r="10" spans="1:7" x14ac:dyDescent="0.3">
      <c r="A10" s="48" t="s">
        <v>201</v>
      </c>
      <c r="B10" s="50" t="str">
        <f>IF((N(Fin_Inputs_Entity7!F26)+N(Fin_Inputs_Entity7!F27)+N(Fin_Inputs_Entity7!F29))=0,"",(N(Fin_Inputs_Entity7!F26)+N(Fin_Inputs_Entity7!F27))/(N(Fin_Inputs_Entity7!F26)+N(Fin_Inputs_Entity7!F27)+N(Fin_Inputs_Entity7!F29)))</f>
        <v/>
      </c>
      <c r="C10" s="48" t="s">
        <v>618</v>
      </c>
      <c r="D10" s="48"/>
      <c r="E10" s="48"/>
      <c r="F10" s="48"/>
      <c r="G10" s="48"/>
    </row>
    <row r="11" spans="1:7" x14ac:dyDescent="0.3">
      <c r="A11" s="48" t="s">
        <v>203</v>
      </c>
      <c r="B11" s="50" t="str">
        <f>IF((N(Fin_Inputs_Entity7!F26)+N(Fin_Inputs_Entity7!F27)+N(Fin_Inputs_Entity7!F29))=0,"",N(Fin_Inputs_Entity7!F29)/(N(Fin_Inputs_Entity7!F26)+N(Fin_Inputs_Entity7!F27)+N(Fin_Inputs_Entity7!F29)))</f>
        <v/>
      </c>
      <c r="C11" s="48" t="s">
        <v>619</v>
      </c>
      <c r="D11" s="48"/>
      <c r="E11" s="48"/>
      <c r="F11" s="48"/>
      <c r="G11" s="48"/>
    </row>
    <row r="12" spans="1:7" x14ac:dyDescent="0.3">
      <c r="A12" s="48" t="s">
        <v>205</v>
      </c>
      <c r="B12" s="50" t="str">
        <f>IF(COUNT(B5:B7)&lt;3,"",B5+B6*B7)</f>
        <v/>
      </c>
      <c r="C12" s="48" t="s">
        <v>452</v>
      </c>
      <c r="D12" s="48"/>
      <c r="E12" s="48"/>
      <c r="F12" s="48"/>
      <c r="G12" s="48"/>
    </row>
    <row r="13" spans="1:7" x14ac:dyDescent="0.3">
      <c r="A13" s="48" t="s">
        <v>207</v>
      </c>
      <c r="B13" s="50" t="str">
        <f>IF(COUNT(B8:B12)&lt;5,"",(B11*B12)+(B10*B8*(1-B9)))</f>
        <v/>
      </c>
      <c r="C13" s="48" t="s">
        <v>620</v>
      </c>
      <c r="D13" s="48"/>
      <c r="E13" s="48"/>
      <c r="F13" s="48"/>
      <c r="G13" s="48"/>
    </row>
    <row r="14" spans="1:7" x14ac:dyDescent="0.3">
      <c r="A14" s="48" t="s">
        <v>621</v>
      </c>
      <c r="B14" s="50" t="str">
        <f>IF(FX_Rate_Entity7="","",FX_Rate_Entity7)</f>
        <v/>
      </c>
      <c r="C14" s="48" t="s">
        <v>622</v>
      </c>
      <c r="D14" s="48"/>
      <c r="E14" s="48"/>
      <c r="F14" s="48"/>
      <c r="G14" s="48"/>
    </row>
    <row r="15" spans="1:7" x14ac:dyDescent="0.3">
      <c r="A15" s="48" t="s">
        <v>209</v>
      </c>
      <c r="B15" s="50"/>
      <c r="C15" s="48"/>
      <c r="D15" s="48"/>
      <c r="E15" s="48"/>
      <c r="F15" s="48"/>
      <c r="G15" s="48"/>
    </row>
    <row r="16" spans="1:7" x14ac:dyDescent="0.3">
      <c r="A16" s="107" t="s">
        <v>155</v>
      </c>
      <c r="B16" s="108"/>
      <c r="C16" s="107"/>
      <c r="D16" s="107"/>
      <c r="E16" s="107"/>
      <c r="F16" s="107"/>
      <c r="G16" s="107"/>
    </row>
    <row r="17" spans="1:8" x14ac:dyDescent="0.3">
      <c r="A17" s="49" t="s">
        <v>211</v>
      </c>
      <c r="B17" s="51" t="s">
        <v>108</v>
      </c>
      <c r="C17" s="51" t="s">
        <v>109</v>
      </c>
      <c r="D17" s="51" t="s">
        <v>110</v>
      </c>
      <c r="E17" s="51" t="s">
        <v>111</v>
      </c>
      <c r="F17" s="51" t="s">
        <v>112</v>
      </c>
      <c r="G17" s="51" t="s">
        <v>210</v>
      </c>
    </row>
    <row r="18" spans="1:8" x14ac:dyDescent="0.3">
      <c r="A18" s="48" t="s">
        <v>212</v>
      </c>
      <c r="B18" s="50" t="str">
        <f>IF(OR(Fin_Inputs_Entity7!B37="",B14=""),"",Fin_Inputs_Entity7!B37*B14*(1+N(Scenario_Analysis!$E$4)-N(Scenario_Analysis!$E$6)-N(Scenario_Analysis!$E$7)))</f>
        <v/>
      </c>
      <c r="C18" s="50" t="str">
        <f>IF(OR(Fin_Inputs_Entity7!C37="",B14=""),"",Fin_Inputs_Entity7!C37*B14*(1+N(Scenario_Analysis!$E$4)-N(Scenario_Analysis!$E$6)-N(Scenario_Analysis!$E$7)))</f>
        <v/>
      </c>
      <c r="D18" s="50" t="str">
        <f>IF(OR(Fin_Inputs_Entity7!D37="",B14=""),"",Fin_Inputs_Entity7!D37*B14*(1+N(Scenario_Analysis!$E$4)-N(Scenario_Analysis!$E$6)-N(Scenario_Analysis!$E$7)))</f>
        <v/>
      </c>
      <c r="E18" s="50" t="str">
        <f>IF(OR(Fin_Inputs_Entity7!E37="",B14=""),"",Fin_Inputs_Entity7!E37*B14*(1+N(Scenario_Analysis!$E$4)-N(Scenario_Analysis!$E$6)-N(Scenario_Analysis!$E$7)))</f>
        <v/>
      </c>
      <c r="F18" s="50" t="str">
        <f>IF(OR(Fin_Inputs_Entity7!F37="",B14=""),"",Fin_Inputs_Entity7!F37*B14*(1+N(Scenario_Analysis!$E$4)-N(Scenario_Analysis!$E$6)-N(Scenario_Analysis!$E$7)))</f>
        <v/>
      </c>
      <c r="G18" s="50"/>
    </row>
    <row r="19" spans="1:8" x14ac:dyDescent="0.3">
      <c r="A19" s="48" t="s">
        <v>213</v>
      </c>
      <c r="B19" s="52">
        <v>0.02</v>
      </c>
      <c r="C19" s="52"/>
      <c r="D19" s="52"/>
      <c r="E19" s="52"/>
      <c r="F19" s="52"/>
      <c r="G19" s="50" t="str">
        <f>IF(OR(F18="",B13="",B19="",B13&lt;=B19),"",F18*(1+B19)/(B13-B19))</f>
        <v/>
      </c>
    </row>
    <row r="20" spans="1:8" x14ac:dyDescent="0.3">
      <c r="A20" s="48" t="s">
        <v>214</v>
      </c>
      <c r="B20" s="50" t="str">
        <f>IF(B13="","",1/(1+B13)^1)</f>
        <v/>
      </c>
      <c r="C20" s="50" t="str">
        <f>IF(B13="","",1/(1+B13)^2)</f>
        <v/>
      </c>
      <c r="D20" s="50" t="str">
        <f>IF(B13="","",1/(1+B13)^3)</f>
        <v/>
      </c>
      <c r="E20" s="50" t="str">
        <f>IF(B13="","",1/(1+B13)^4)</f>
        <v/>
      </c>
      <c r="F20" s="50" t="str">
        <f>IF(B13="","",1/(1+B13)^5)</f>
        <v/>
      </c>
      <c r="G20" s="50" t="str">
        <f>IF(B13="","",1/(1+B13)^5)</f>
        <v/>
      </c>
    </row>
    <row r="21" spans="1:8" x14ac:dyDescent="0.3">
      <c r="A21" s="48" t="s">
        <v>215</v>
      </c>
      <c r="B21" s="50" t="str">
        <f>IF(OR(B18="",B20=""),"",B18*B20)</f>
        <v/>
      </c>
      <c r="C21" s="50" t="str">
        <f>IF(OR(C18="",C20=""),"",C18*C20)</f>
        <v/>
      </c>
      <c r="D21" s="50" t="str">
        <f>IF(OR(D18="",D20=""),"",D18*D20)</f>
        <v/>
      </c>
      <c r="E21" s="50" t="str">
        <f>IF(OR(E18="",E20=""),"",E18*E20)</f>
        <v/>
      </c>
      <c r="F21" s="50" t="str">
        <f>IF(OR(F18="",F20=""),"",F18*F20)</f>
        <v/>
      </c>
      <c r="G21" s="50" t="str">
        <f>IF(OR(G19="",G20=""),"",G19*G20)</f>
        <v/>
      </c>
    </row>
    <row r="22" spans="1:8" x14ac:dyDescent="0.3">
      <c r="A22" s="48" t="s">
        <v>216</v>
      </c>
      <c r="B22" s="50" t="str">
        <f>IF(COUNT(B21:G21)=0,"",SUM(B21:G21))</f>
        <v/>
      </c>
      <c r="C22" s="50" t="str">
        <f>IF(OR(C18="",C21=""),"",C18*C21)</f>
        <v/>
      </c>
      <c r="D22" s="50" t="str">
        <f>IF(OR(D18="",D21=""),"",D18*D21)</f>
        <v/>
      </c>
      <c r="E22" s="50" t="str">
        <f>IF(OR(E18="",E21=""),"",E18*E21)</f>
        <v/>
      </c>
      <c r="F22" s="50" t="str">
        <f>IF(OR(F18="",F21=""),"",F18*F21)</f>
        <v/>
      </c>
      <c r="G22" s="50" t="str">
        <f>IF(OR(G20="",G21=""),"",G20*G21)</f>
        <v/>
      </c>
    </row>
    <row r="23" spans="1:8" x14ac:dyDescent="0.3">
      <c r="A23" s="48" t="s">
        <v>216</v>
      </c>
      <c r="B23" s="50" t="str">
        <f>IF(COUNT(B22:G22)=0,"",SUM(B22:G22))</f>
        <v/>
      </c>
      <c r="C23" s="50"/>
      <c r="D23" s="50"/>
      <c r="E23" s="50"/>
      <c r="F23" s="50"/>
      <c r="G23" s="50"/>
      <c r="H23" t="str">
        <f>IF(OR(F21="",B13="",B22="",B13&lt;=B22),"",F21*(1+B22)/(B13-B22))</f>
        <v/>
      </c>
    </row>
    <row r="24" spans="1:8" x14ac:dyDescent="0.3">
      <c r="A24" s="48"/>
      <c r="B24" s="50"/>
      <c r="C24" s="50"/>
      <c r="D24" s="50"/>
      <c r="E24" s="50"/>
      <c r="F24" s="50"/>
      <c r="G24" s="50"/>
    </row>
    <row r="25" spans="1:8" x14ac:dyDescent="0.3">
      <c r="A25" s="107" t="s">
        <v>218</v>
      </c>
      <c r="B25" s="107"/>
      <c r="C25" s="107"/>
      <c r="D25" s="107"/>
      <c r="E25" s="50"/>
      <c r="F25" s="50"/>
      <c r="G25" s="50"/>
    </row>
    <row r="26" spans="1:8" x14ac:dyDescent="0.3">
      <c r="A26" s="48" t="s">
        <v>218</v>
      </c>
      <c r="B26" s="50" t="s">
        <v>219</v>
      </c>
      <c r="C26" s="48" t="s">
        <v>220</v>
      </c>
      <c r="D26" s="48" t="s">
        <v>221</v>
      </c>
      <c r="E26" s="48"/>
      <c r="F26" s="48"/>
      <c r="G26" s="48"/>
    </row>
    <row r="27" spans="1:8" x14ac:dyDescent="0.3">
      <c r="A27" s="48" t="s">
        <v>222</v>
      </c>
      <c r="B27" s="43">
        <v>6</v>
      </c>
      <c r="C27" s="50" t="str">
        <f>IF(OR(Fin_Inputs_Entity7!F9="",B14=""),"",Fin_Inputs_Entity7!F9*B14)</f>
        <v/>
      </c>
      <c r="D27" s="50" t="str">
        <f>IF(OR(B27="",C27=""),"",B27*C27)</f>
        <v/>
      </c>
      <c r="E27" s="48"/>
      <c r="F27" s="48"/>
      <c r="G27" s="48"/>
    </row>
    <row r="28" spans="1:8" x14ac:dyDescent="0.3">
      <c r="A28" s="49" t="s">
        <v>223</v>
      </c>
      <c r="B28" s="53">
        <v>1.5</v>
      </c>
      <c r="C28" s="51" t="str">
        <f>IF(OR(Fin_Inputs_Entity7!F5="",B14=""),"",Fin_Inputs_Entity7!F5*B14)</f>
        <v/>
      </c>
      <c r="D28" s="51" t="str">
        <f>IF(OR(B28="",C28=""),"",B28*C28)</f>
        <v/>
      </c>
      <c r="E28" s="49"/>
      <c r="F28" s="49"/>
      <c r="G28" s="49"/>
    </row>
    <row r="29" spans="1:8" x14ac:dyDescent="0.3">
      <c r="A29" s="48" t="s">
        <v>224</v>
      </c>
      <c r="B29" s="43">
        <v>10</v>
      </c>
      <c r="C29" s="50" t="str">
        <f>IF(OR(Fin_Inputs_Entity7!F14="",B14=""),"",Fin_Inputs_Entity7!F14*B14)</f>
        <v/>
      </c>
      <c r="D29" s="50" t="str">
        <f>IF(OR(B29="",C29=""),"",B29*C29)</f>
        <v/>
      </c>
      <c r="E29" s="48"/>
      <c r="F29" s="48"/>
      <c r="G29" s="48"/>
    </row>
    <row r="30" spans="1:8" x14ac:dyDescent="0.3">
      <c r="A30" s="48" t="s">
        <v>225</v>
      </c>
      <c r="B30" s="50" t="str">
        <f>IF(COUNT(D27:D29)=0,"",AVERAGE(D27:D29))</f>
        <v/>
      </c>
      <c r="C30" s="50"/>
      <c r="D30" s="50" t="str">
        <f>IF(COUNT(D27:D29)=0,"",AVERAGE(D27:D29))</f>
        <v/>
      </c>
      <c r="E30" s="48"/>
      <c r="F30" s="48"/>
      <c r="G30" s="48"/>
    </row>
    <row r="31" spans="1:8" x14ac:dyDescent="0.3">
      <c r="A31" s="48" t="s">
        <v>384</v>
      </c>
      <c r="B31" s="50" t="str">
        <f>IF(OR(Entity_Ownership!F10="",FX_Conversion!B10=""),"WARNING: Missing Country/Currency Data",IF(OR(B5="",B6="",B7="",B8="",B14=""),"WARNING: Incomplete CAPM / WACC / FX Chain",""))</f>
        <v>WARNING: Missing Country/Currency Data</v>
      </c>
      <c r="C31" s="48"/>
      <c r="D31" s="48"/>
      <c r="E31" s="48"/>
      <c r="F31" s="48"/>
      <c r="G31" s="48"/>
    </row>
    <row r="32" spans="1:8" x14ac:dyDescent="0.3">
      <c r="A32" s="48"/>
      <c r="B32" s="50"/>
      <c r="C32" s="48"/>
      <c r="D32" s="48"/>
      <c r="E32" s="48"/>
      <c r="F32" s="48"/>
      <c r="G32" s="48"/>
    </row>
    <row r="33" spans="1:7" x14ac:dyDescent="0.3">
      <c r="A33" s="107" t="s">
        <v>155</v>
      </c>
      <c r="B33" s="108"/>
      <c r="C33" s="107"/>
      <c r="D33" s="48"/>
      <c r="E33" s="48"/>
      <c r="F33" s="48"/>
      <c r="G33" s="48"/>
    </row>
    <row r="34" spans="1:7" x14ac:dyDescent="0.3">
      <c r="A34" s="48" t="s">
        <v>229</v>
      </c>
      <c r="B34" s="50" t="str">
        <f>B23</f>
        <v/>
      </c>
      <c r="C34" s="48" t="s">
        <v>623</v>
      </c>
      <c r="D34" s="48"/>
      <c r="E34" s="48"/>
      <c r="F34" s="48"/>
      <c r="G34" s="48"/>
    </row>
    <row r="35" spans="1:7" x14ac:dyDescent="0.3">
      <c r="A35" s="48" t="s">
        <v>578</v>
      </c>
      <c r="B35" s="50" t="str">
        <f>B30</f>
        <v/>
      </c>
      <c r="C35" s="48" t="s">
        <v>623</v>
      </c>
      <c r="D35" s="48"/>
      <c r="E35" s="48"/>
      <c r="F35" s="48"/>
      <c r="G35" s="48"/>
    </row>
    <row r="36" spans="1:7" x14ac:dyDescent="0.3">
      <c r="A36" s="48" t="s">
        <v>624</v>
      </c>
      <c r="B36" s="50" t="str">
        <f>IF(COUNT(B34:B35)=0,"",AVERAGE(B34:B35))</f>
        <v/>
      </c>
      <c r="C36" s="48" t="s">
        <v>623</v>
      </c>
      <c r="D36" s="48"/>
      <c r="E36" s="48"/>
      <c r="F36" s="48"/>
      <c r="G36" s="48"/>
    </row>
    <row r="37" spans="1:7" x14ac:dyDescent="0.3">
      <c r="A37" s="48" t="s">
        <v>231</v>
      </c>
      <c r="B37" s="50" t="str">
        <f>IF(B36="","",B36*IF(Entity_Ownership!C10="",1,Entity_Ownership!C10))</f>
        <v/>
      </c>
      <c r="C37" s="48" t="s">
        <v>625</v>
      </c>
      <c r="D37" s="48"/>
      <c r="E37" s="48"/>
      <c r="F37" s="48"/>
      <c r="G37" s="48"/>
    </row>
    <row r="38" spans="1:7" x14ac:dyDescent="0.3">
      <c r="A38" s="49"/>
      <c r="B38" s="51"/>
      <c r="C38" s="49"/>
      <c r="D38" s="49"/>
      <c r="E38" s="49"/>
      <c r="F38" s="49"/>
      <c r="G38" s="49"/>
    </row>
    <row r="39" spans="1:7" x14ac:dyDescent="0.3">
      <c r="A39" s="107" t="s">
        <v>626</v>
      </c>
      <c r="B39" s="107"/>
      <c r="C39" s="107"/>
      <c r="D39" s="107"/>
      <c r="E39" s="107"/>
      <c r="F39" s="107"/>
      <c r="G39" s="107"/>
    </row>
    <row r="40" spans="1:7" x14ac:dyDescent="0.3">
      <c r="A40" s="48" t="s">
        <v>627</v>
      </c>
      <c r="B40" s="54" t="s">
        <v>628</v>
      </c>
      <c r="C40" s="55" t="s">
        <v>629</v>
      </c>
      <c r="D40" s="55" t="s">
        <v>630</v>
      </c>
      <c r="E40" s="48"/>
      <c r="F40" s="48"/>
      <c r="G40" s="48"/>
    </row>
    <row r="41" spans="1:7" x14ac:dyDescent="0.3">
      <c r="A41" s="48" t="s">
        <v>631</v>
      </c>
      <c r="B41" s="50" t="e">
        <f>IF(OR($B$13="",$B$19="",$F$18="",($B$13-0.01)&lt;=($B$19-0.01)),"",SUM($B$21:$F$21)+($F$18*(1+($B$19-0.01))/(($B$13-0.01)-($B$19-0.01)))/(1+($B$13-0.01))^5)</f>
        <v>#VALUE!</v>
      </c>
      <c r="C41" s="50" t="e">
        <f>IF(OR($B$13="",$B$19="",$F$18="",($B$13-0.01)&lt;=($B$19)),"",SUM($B$21:$F$21)+($F$18*(1+$B$19)/(($B$13-0.01)-$B$19))/(1+($B$13-0.01))^5)</f>
        <v>#VALUE!</v>
      </c>
      <c r="D41" s="50" t="e">
        <f>IF(OR($B$13="",$B$19="",$F$18="",($B$13-0.01)&lt;=($B$19+0.01)),"",SUM($B$21:$F$21)+($F$18*(1+($B$19+0.01))/(($B$13-0.01)-($B$19+0.01)))/(1+($B$13-0.01))^5)</f>
        <v>#VALUE!</v>
      </c>
      <c r="E41" s="48"/>
      <c r="F41" s="48"/>
      <c r="G41" s="48"/>
    </row>
    <row r="42" spans="1:7" x14ac:dyDescent="0.3">
      <c r="A42" s="49" t="s">
        <v>632</v>
      </c>
      <c r="B42" s="51" t="str">
        <f>IF(OR($B$13="",$B$19="",$F$18="",($B$13)&lt;=($B$19-0.01)),"",SUM($B$21:$F$21)+($F$18*(1+($B$19-0.01))/($B$13-($B$19-0.01)))/(1+$B$13)^5)</f>
        <v/>
      </c>
      <c r="C42" s="51" t="str">
        <f>B22</f>
        <v/>
      </c>
      <c r="D42" s="51" t="str">
        <f>IF(OR($B$13="",$B$19="",$F$18="",($B$13)&lt;=($B$19+0.01)),"",SUM($B$21:$F$21)+($F$18*(1+($B$19+0.01))/($B$13-($B$19+0.01)))/(1+$B$13)^5)</f>
        <v/>
      </c>
      <c r="E42" s="49"/>
      <c r="F42" s="49"/>
      <c r="G42" s="49"/>
    </row>
    <row r="43" spans="1:7" x14ac:dyDescent="0.3">
      <c r="A43" s="48" t="s">
        <v>633</v>
      </c>
      <c r="B43" s="50" t="e">
        <f>IF(OR($B$13="",$B$19="",$F$18="",($B$13+0.01)&lt;=($B$19-0.01)),"",SUM($B$21:$F$21)+($F$18*(1+($B$19-0.01))/(($B$13+0.01)-($B$19-0.01)))/(1+($B$13+0.01))^5)</f>
        <v>#VALUE!</v>
      </c>
      <c r="C43" s="50" t="e">
        <f>IF(OR($B$13="",$B$19="",$F$18="",($B$13+0.01)&lt;=($B$19)),"",SUM($B$21:$F$21)+($F$18*(1+$B$19)/(($B$13+0.01)-$B$19))/(1+($B$13+0.01))^5)</f>
        <v>#VALUE!</v>
      </c>
      <c r="D43" s="50" t="e">
        <f>IF(OR($B$13="",$B$19="",$F$18="",($B$13+0.01)&lt;=($B$19+0.01)),"",SUM($B$21:$F$21)+($F$18*(1+($B$19+0.01))/(($B$13+0.01)-($B$19+0.01)))/(1+($B$13+0.01))^5)</f>
        <v>#VALUE!</v>
      </c>
      <c r="E43" s="48"/>
      <c r="F43" s="48"/>
      <c r="G43" s="48"/>
    </row>
    <row r="44" spans="1:7" x14ac:dyDescent="0.3">
      <c r="A44" s="48" t="s">
        <v>634</v>
      </c>
      <c r="B44" s="48" t="s">
        <v>647</v>
      </c>
      <c r="C44" s="48"/>
      <c r="D44" s="48"/>
      <c r="E44" s="48"/>
      <c r="F44" s="48"/>
      <c r="G44" s="48"/>
    </row>
    <row r="45" spans="1:7" x14ac:dyDescent="0.3">
      <c r="A45" s="48" t="s">
        <v>384</v>
      </c>
      <c r="B45" s="50" t="str">
        <f>IF(OR(Entity_Ownership!F10="",Entity_Ownership!G10=""),"WARNING: Missing Country/Currency Data",IF(B13="","WARNING: Incomplete CAPM / WACC Chain",""))</f>
        <v>WARNING: Missing Country/Currency Data</v>
      </c>
      <c r="C45" s="48"/>
      <c r="D45" s="48"/>
      <c r="E45" s="48"/>
      <c r="F45" s="48"/>
      <c r="G45" s="48"/>
    </row>
  </sheetData>
  <mergeCells count="6">
    <mergeCell ref="A39:G39"/>
    <mergeCell ref="A1:G1"/>
    <mergeCell ref="A3:C3"/>
    <mergeCell ref="A16:G16"/>
    <mergeCell ref="A25:D25"/>
    <mergeCell ref="A33:C3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97BF-AB46-4A42-A074-1D8B83BD2CE4}">
  <dimension ref="A1:H45"/>
  <sheetViews>
    <sheetView workbookViewId="0"/>
  </sheetViews>
  <sheetFormatPr defaultRowHeight="14.4" x14ac:dyDescent="0.3"/>
  <cols>
    <col min="1" max="1" width="23.109375" bestFit="1" customWidth="1"/>
    <col min="2" max="2" width="47.88671875" bestFit="1" customWidth="1"/>
    <col min="3" max="3" width="27.109375" bestFit="1" customWidth="1"/>
    <col min="4" max="4" width="9.33203125" bestFit="1" customWidth="1"/>
    <col min="5" max="6" width="6" bestFit="1" customWidth="1"/>
    <col min="7" max="7" width="8.33203125" bestFit="1" customWidth="1"/>
  </cols>
  <sheetData>
    <row r="1" spans="1:7" x14ac:dyDescent="0.3">
      <c r="A1" s="107" t="s">
        <v>648</v>
      </c>
      <c r="B1" s="107"/>
      <c r="C1" s="107"/>
      <c r="D1" s="107"/>
      <c r="E1" s="107"/>
      <c r="F1" s="107"/>
      <c r="G1" s="107"/>
    </row>
    <row r="2" spans="1:7" x14ac:dyDescent="0.3">
      <c r="A2" s="48"/>
      <c r="B2" s="43"/>
      <c r="C2" s="48"/>
      <c r="D2" s="48"/>
      <c r="E2" s="48"/>
      <c r="F2" s="48"/>
      <c r="G2" s="48"/>
    </row>
    <row r="3" spans="1:7" x14ac:dyDescent="0.3">
      <c r="A3" s="107" t="s">
        <v>190</v>
      </c>
      <c r="B3" s="107"/>
      <c r="C3" s="107"/>
      <c r="D3" s="49"/>
      <c r="E3" s="49"/>
      <c r="F3" s="49"/>
      <c r="G3" s="49"/>
    </row>
    <row r="4" spans="1:7" x14ac:dyDescent="0.3">
      <c r="A4" s="48" t="s">
        <v>16</v>
      </c>
      <c r="B4" s="48" t="s">
        <v>91</v>
      </c>
      <c r="C4" s="48" t="s">
        <v>90</v>
      </c>
      <c r="D4" s="48"/>
      <c r="E4" s="48"/>
      <c r="F4" s="48"/>
      <c r="G4" s="48"/>
    </row>
    <row r="5" spans="1:7" x14ac:dyDescent="0.3">
      <c r="A5" s="48" t="s">
        <v>191</v>
      </c>
      <c r="B5" s="50" t="str">
        <f>IF(AND(Entity_Ownership!$F$11&lt;&gt;"",UPPER(Entity_Ownership!$F$11)&lt;&gt;"UNITED STATES",COUNTIFS(Global_Rates!$B$4:$B$73,"Entity 8",Global_Rates!$A$4:$A$73,"Local 10-Year Government Bond Yield",Global_Rates!$F$4:$F$73,"&lt;&gt;")&gt;0),SUMIFS(Global_Rates!$F$4:$F$73,Global_Rates!$B$4:$B$73,"Entity 8",Global_Rates!$A$4:$A$73,"Local 10-Year Government Bond Yield"),IF(COUNTIFS(Global_Rates!$B$4:$B$73,"Entity 8",Global_Rates!$A$4:$A$73,"U.S. 10-Year Treasury",Global_Rates!$F$4:$F$73,"&lt;&gt;")&gt;0,SUMIFS(Global_Rates!$F$4:$F$73,Global_Rates!$B$4:$B$73,"Entity 8",Global_Rates!$A$4:$A$73,"U.S. 10-Year Treasury"),""))</f>
        <v/>
      </c>
      <c r="C5" s="48" t="s">
        <v>614</v>
      </c>
      <c r="D5" s="48"/>
      <c r="E5" s="48"/>
      <c r="F5" s="48"/>
      <c r="G5" s="48"/>
    </row>
    <row r="6" spans="1:7" x14ac:dyDescent="0.3">
      <c r="A6" s="48" t="s">
        <v>193</v>
      </c>
      <c r="B6" s="50" t="str">
        <f>IF(COUNTIFS(Global_Rates!$B$4:$B$73,"Entity 8",Global_Rates!$A$4:$A$73,"Beta",Global_Rates!$F$4:$F$73,"&lt;&gt;")&gt;0,SUMIFS(Global_Rates!$F$4:$F$73,Global_Rates!$B$4:$B$73,"Entity 8",Global_Rates!$A$4:$A$73,"Beta"),"")</f>
        <v/>
      </c>
      <c r="C6" s="48" t="s">
        <v>615</v>
      </c>
      <c r="D6" s="48"/>
      <c r="E6" s="48"/>
      <c r="F6" s="48"/>
      <c r="G6" s="48"/>
    </row>
    <row r="7" spans="1:7" x14ac:dyDescent="0.3">
      <c r="A7" s="48" t="s">
        <v>195</v>
      </c>
      <c r="B7" s="50" t="str">
        <f>IF(AND(Entity_Ownership!$F$11&lt;&gt;"",UPPER(Entity_Ownership!$F$11)&lt;&gt;"UNITED STATES",COUNTIFS(Global_Rates!$B$4:$B$73,"Entity 8",Global_Rates!$A$4:$A$73,"Local Market Risk Premium",Global_Rates!$F$4:$F$73,"&lt;&gt;")&gt;0),SUMIFS(Global_Rates!$F$4:$F$73,Global_Rates!$B$4:$B$73,"Entity 8",Global_Rates!$A$4:$A$73,"Local Market Risk Premium"),IF(COUNTIFS(Global_Rates!$B$4:$B$73,"Entity 8",Global_Rates!$A$4:$A$73,"U.S. Market Risk Premium",Global_Rates!$F$4:$F$73,"&lt;&gt;")&gt;0,SUMIFS(Global_Rates!$F$4:$F$73,Global_Rates!$B$4:$B$73,"Entity 8",Global_Rates!$A$4:$A$73,"U.S. Market Risk Premium"),""))</f>
        <v/>
      </c>
      <c r="C7" s="48" t="s">
        <v>614</v>
      </c>
      <c r="D7" s="48"/>
      <c r="E7" s="48"/>
      <c r="F7" s="48"/>
      <c r="G7" s="48"/>
    </row>
    <row r="8" spans="1:7" x14ac:dyDescent="0.3">
      <c r="A8" s="48" t="s">
        <v>197</v>
      </c>
      <c r="B8" s="50" t="str">
        <f>IF(AND(Entity_Ownership!$F$11&lt;&gt;"",UPPER(Entity_Ownership!$F$11)&lt;&gt;"UNITED STATES",COUNTIFS(Global_Rates!$B$4:$B$73,"Entity 8",Global_Rates!$A$4:$A$73,"Local Corporate Bond Yield",Global_Rates!$F$4:$F$73,"&lt;&gt;")&gt;0),SUMIFS(Global_Rates!$F$4:$F$73,Global_Rates!$B$4:$B$73,"Entity 8",Global_Rates!$A$4:$A$73,"Local Corporate Bond Yield"),IF(COUNTIFS(Global_Rates!$B$4:$B$73,"Entity 8",Global_Rates!$A$4:$A$73,"U.S. Corporate Bond Yield",Global_Rates!$F$4:$F$73,"&lt;&gt;")&gt;0,SUMIFS(Global_Rates!$F$4:$F$73,Global_Rates!$B$4:$B$73,"Entity 8",Global_Rates!$A$4:$A$73,"U.S. Corporate Bond Yield"),""))</f>
        <v/>
      </c>
      <c r="C8" s="48" t="s">
        <v>616</v>
      </c>
      <c r="D8" s="48"/>
      <c r="E8" s="48"/>
      <c r="F8" s="48"/>
      <c r="G8" s="48"/>
    </row>
    <row r="9" spans="1:7" x14ac:dyDescent="0.3">
      <c r="A9" s="48" t="s">
        <v>199</v>
      </c>
      <c r="B9" s="50" t="str">
        <f>IF(OR(Fin_Inputs_Entity8!F13="",Fin_Inputs_Entity8!F11="",Fin_Inputs_Entity8!F11=0),"",ABS(Fin_Inputs_Entity8!F13/Fin_Inputs_Entity8!F11))</f>
        <v/>
      </c>
      <c r="C9" s="48" t="s">
        <v>617</v>
      </c>
      <c r="D9" s="48"/>
      <c r="E9" s="48"/>
      <c r="F9" s="48"/>
      <c r="G9" s="48"/>
    </row>
    <row r="10" spans="1:7" x14ac:dyDescent="0.3">
      <c r="A10" s="48" t="s">
        <v>201</v>
      </c>
      <c r="B10" s="50" t="str">
        <f>IF((N(Fin_Inputs_Entity8!F26)+N(Fin_Inputs_Entity8!F27)+N(Fin_Inputs_Entity8!F29))=0,"",(N(Fin_Inputs_Entity8!F26)+N(Fin_Inputs_Entity8!F27))/(N(Fin_Inputs_Entity8!F26)+N(Fin_Inputs_Entity8!F27)+N(Fin_Inputs_Entity8!F29)))</f>
        <v/>
      </c>
      <c r="C10" s="48" t="s">
        <v>618</v>
      </c>
      <c r="D10" s="48"/>
      <c r="E10" s="48"/>
      <c r="F10" s="48"/>
      <c r="G10" s="48"/>
    </row>
    <row r="11" spans="1:7" x14ac:dyDescent="0.3">
      <c r="A11" s="48" t="s">
        <v>203</v>
      </c>
      <c r="B11" s="50" t="str">
        <f>IF((N(Fin_Inputs_Entity8!F26)+N(Fin_Inputs_Entity8!F27)+N(Fin_Inputs_Entity8!F29))=0,"",N(Fin_Inputs_Entity8!F29)/(N(Fin_Inputs_Entity8!F26)+N(Fin_Inputs_Entity8!F27)+N(Fin_Inputs_Entity8!F29)))</f>
        <v/>
      </c>
      <c r="C11" s="48" t="s">
        <v>619</v>
      </c>
      <c r="D11" s="48"/>
      <c r="E11" s="48"/>
      <c r="F11" s="48"/>
      <c r="G11" s="48"/>
    </row>
    <row r="12" spans="1:7" x14ac:dyDescent="0.3">
      <c r="A12" s="48" t="s">
        <v>205</v>
      </c>
      <c r="B12" s="50" t="str">
        <f>IF(COUNT(B5:B7)&lt;3,"",B5+B6*B7)</f>
        <v/>
      </c>
      <c r="C12" s="48" t="s">
        <v>452</v>
      </c>
      <c r="D12" s="48"/>
      <c r="E12" s="48"/>
      <c r="F12" s="48"/>
      <c r="G12" s="48"/>
    </row>
    <row r="13" spans="1:7" x14ac:dyDescent="0.3">
      <c r="A13" s="48" t="s">
        <v>207</v>
      </c>
      <c r="B13" s="50" t="str">
        <f>IF(COUNT(B8:B12)&lt;5,"",(B11*B12)+(B10*B8*(1-B9)))</f>
        <v/>
      </c>
      <c r="C13" s="48" t="s">
        <v>620</v>
      </c>
      <c r="D13" s="48"/>
      <c r="E13" s="48"/>
      <c r="F13" s="48"/>
      <c r="G13" s="48"/>
    </row>
    <row r="14" spans="1:7" x14ac:dyDescent="0.3">
      <c r="A14" s="48" t="s">
        <v>621</v>
      </c>
      <c r="B14" s="50" t="str">
        <f>IF(FX_Rate_Entity8="","",FX_Rate_Entity8)</f>
        <v/>
      </c>
      <c r="C14" s="48" t="s">
        <v>622</v>
      </c>
      <c r="D14" s="48"/>
      <c r="E14" s="48"/>
      <c r="F14" s="48"/>
      <c r="G14" s="48"/>
    </row>
    <row r="15" spans="1:7" x14ac:dyDescent="0.3">
      <c r="A15" s="48" t="s">
        <v>209</v>
      </c>
      <c r="B15" s="50"/>
      <c r="C15" s="48"/>
      <c r="D15" s="48"/>
      <c r="E15" s="48"/>
      <c r="F15" s="48"/>
      <c r="G15" s="48"/>
    </row>
    <row r="16" spans="1:7" x14ac:dyDescent="0.3">
      <c r="A16" s="107" t="s">
        <v>155</v>
      </c>
      <c r="B16" s="108"/>
      <c r="C16" s="107"/>
      <c r="D16" s="107"/>
      <c r="E16" s="107"/>
      <c r="F16" s="107"/>
      <c r="G16" s="107"/>
    </row>
    <row r="17" spans="1:8" x14ac:dyDescent="0.3">
      <c r="A17" s="49" t="s">
        <v>211</v>
      </c>
      <c r="B17" s="51" t="s">
        <v>108</v>
      </c>
      <c r="C17" s="51" t="s">
        <v>109</v>
      </c>
      <c r="D17" s="51" t="s">
        <v>110</v>
      </c>
      <c r="E17" s="51" t="s">
        <v>111</v>
      </c>
      <c r="F17" s="51" t="s">
        <v>112</v>
      </c>
      <c r="G17" s="51" t="s">
        <v>210</v>
      </c>
    </row>
    <row r="18" spans="1:8" x14ac:dyDescent="0.3">
      <c r="A18" s="48" t="s">
        <v>212</v>
      </c>
      <c r="B18" s="50" t="str">
        <f>IF(OR(Fin_Inputs_Entity8!B37="",B14=""),"",Fin_Inputs_Entity8!B37*B14*(1+N(Scenario_Analysis!$E$4)-N(Scenario_Analysis!$E$6)-N(Scenario_Analysis!$E$7)))</f>
        <v/>
      </c>
      <c r="C18" s="50" t="str">
        <f>IF(OR(Fin_Inputs_Entity8!C37="",B14=""),"",Fin_Inputs_Entity8!C37*B14*(1+N(Scenario_Analysis!$E$4)-N(Scenario_Analysis!$E$6)-N(Scenario_Analysis!$E$7)))</f>
        <v/>
      </c>
      <c r="D18" s="50" t="str">
        <f>IF(OR(Fin_Inputs_Entity8!D37="",B14=""),"",Fin_Inputs_Entity8!D37*B14*(1+N(Scenario_Analysis!$E$4)-N(Scenario_Analysis!$E$6)-N(Scenario_Analysis!$E$7)))</f>
        <v/>
      </c>
      <c r="E18" s="50" t="str">
        <f>IF(OR(Fin_Inputs_Entity8!E37="",B14=""),"",Fin_Inputs_Entity8!E37*B14*(1+N(Scenario_Analysis!$E$4)-N(Scenario_Analysis!$E$6)-N(Scenario_Analysis!$E$7)))</f>
        <v/>
      </c>
      <c r="F18" s="50" t="str">
        <f>IF(OR(Fin_Inputs_Entity8!F37="",B14=""),"",Fin_Inputs_Entity8!F37*B14*(1+N(Scenario_Analysis!$E$4)-N(Scenario_Analysis!$E$6)-N(Scenario_Analysis!$E$7)))</f>
        <v/>
      </c>
      <c r="G18" s="50"/>
    </row>
    <row r="19" spans="1:8" x14ac:dyDescent="0.3">
      <c r="A19" s="48" t="s">
        <v>213</v>
      </c>
      <c r="B19" s="52">
        <v>0.02</v>
      </c>
      <c r="C19" s="52"/>
      <c r="D19" s="52"/>
      <c r="E19" s="52"/>
      <c r="F19" s="52"/>
      <c r="G19" s="50" t="str">
        <f>IF(OR(F18="",B13="",B19="",B13&lt;=B19),"",F18*(1+B19)/(B13-B19))</f>
        <v/>
      </c>
    </row>
    <row r="20" spans="1:8" x14ac:dyDescent="0.3">
      <c r="A20" s="48" t="s">
        <v>214</v>
      </c>
      <c r="B20" s="50" t="str">
        <f>IF(B13="","",1/(1+B13)^1)</f>
        <v/>
      </c>
      <c r="C20" s="50" t="str">
        <f>IF(B13="","",1/(1+B13)^2)</f>
        <v/>
      </c>
      <c r="D20" s="50" t="str">
        <f>IF(B13="","",1/(1+B13)^3)</f>
        <v/>
      </c>
      <c r="E20" s="50" t="str">
        <f>IF(B13="","",1/(1+B13)^4)</f>
        <v/>
      </c>
      <c r="F20" s="50" t="str">
        <f>IF(B13="","",1/(1+B13)^5)</f>
        <v/>
      </c>
      <c r="G20" s="50" t="str">
        <f>IF(B13="","",1/(1+B13)^5)</f>
        <v/>
      </c>
    </row>
    <row r="21" spans="1:8" x14ac:dyDescent="0.3">
      <c r="A21" s="48" t="s">
        <v>215</v>
      </c>
      <c r="B21" s="50" t="str">
        <f>IF(OR(B18="",B20=""),"",B18*B20)</f>
        <v/>
      </c>
      <c r="C21" s="50" t="str">
        <f>IF(OR(C18="",C20=""),"",C18*C20)</f>
        <v/>
      </c>
      <c r="D21" s="50" t="str">
        <f>IF(OR(D18="",D20=""),"",D18*D20)</f>
        <v/>
      </c>
      <c r="E21" s="50" t="str">
        <f>IF(OR(E18="",E20=""),"",E18*E20)</f>
        <v/>
      </c>
      <c r="F21" s="50" t="str">
        <f>IF(OR(F18="",F20=""),"",F18*F20)</f>
        <v/>
      </c>
      <c r="G21" s="50" t="str">
        <f>IF(OR(G19="",G20=""),"",G19*G20)</f>
        <v/>
      </c>
    </row>
    <row r="22" spans="1:8" x14ac:dyDescent="0.3">
      <c r="A22" s="48" t="s">
        <v>216</v>
      </c>
      <c r="B22" s="50" t="str">
        <f>IF(COUNT(B21:G21)=0,"",SUM(B21:G21))</f>
        <v/>
      </c>
      <c r="C22" s="50" t="str">
        <f>IF(OR(C18="",C21=""),"",C18*C21)</f>
        <v/>
      </c>
      <c r="D22" s="50" t="str">
        <f>IF(OR(D18="",D21=""),"",D18*D21)</f>
        <v/>
      </c>
      <c r="E22" s="50" t="str">
        <f>IF(OR(E18="",E21=""),"",E18*E21)</f>
        <v/>
      </c>
      <c r="F22" s="50" t="str">
        <f>IF(OR(F18="",F21=""),"",F18*F21)</f>
        <v/>
      </c>
      <c r="G22" s="50" t="str">
        <f>IF(OR(G20="",G21=""),"",G20*G21)</f>
        <v/>
      </c>
    </row>
    <row r="23" spans="1:8" x14ac:dyDescent="0.3">
      <c r="A23" s="48" t="s">
        <v>216</v>
      </c>
      <c r="B23" s="50" t="str">
        <f>IF(COUNT(B22:G22)=0,"",SUM(B22:G22))</f>
        <v/>
      </c>
      <c r="C23" s="50"/>
      <c r="D23" s="50"/>
      <c r="E23" s="50"/>
      <c r="F23" s="50"/>
      <c r="G23" s="50"/>
      <c r="H23" t="str">
        <f>IF(OR(F21="",B13="",B22="",B13&lt;=B22),"",F21*(1+B22)/(B13-B22))</f>
        <v/>
      </c>
    </row>
    <row r="24" spans="1:8" x14ac:dyDescent="0.3">
      <c r="A24" s="48"/>
      <c r="B24" s="50"/>
      <c r="C24" s="50"/>
      <c r="D24" s="50"/>
      <c r="E24" s="50"/>
      <c r="F24" s="50"/>
      <c r="G24" s="50"/>
    </row>
    <row r="25" spans="1:8" x14ac:dyDescent="0.3">
      <c r="A25" s="107" t="s">
        <v>218</v>
      </c>
      <c r="B25" s="107"/>
      <c r="C25" s="107"/>
      <c r="D25" s="107"/>
      <c r="E25" s="50"/>
      <c r="F25" s="50"/>
      <c r="G25" s="50"/>
    </row>
    <row r="26" spans="1:8" x14ac:dyDescent="0.3">
      <c r="A26" s="48" t="s">
        <v>218</v>
      </c>
      <c r="B26" s="50" t="s">
        <v>219</v>
      </c>
      <c r="C26" s="48" t="s">
        <v>220</v>
      </c>
      <c r="D26" s="48" t="s">
        <v>221</v>
      </c>
      <c r="E26" s="48"/>
      <c r="F26" s="48"/>
      <c r="G26" s="48"/>
    </row>
    <row r="27" spans="1:8" x14ac:dyDescent="0.3">
      <c r="A27" s="48" t="s">
        <v>222</v>
      </c>
      <c r="B27" s="43">
        <v>6</v>
      </c>
      <c r="C27" s="50" t="str">
        <f>IF(OR(Fin_Inputs_Entity8!F9="",B14=""),"",Fin_Inputs_Entity8!F9*B14)</f>
        <v/>
      </c>
      <c r="D27" s="50" t="str">
        <f>IF(OR(B27="",C27=""),"",B27*C27)</f>
        <v/>
      </c>
      <c r="E27" s="48"/>
      <c r="F27" s="48"/>
      <c r="G27" s="48"/>
    </row>
    <row r="28" spans="1:8" x14ac:dyDescent="0.3">
      <c r="A28" s="49" t="s">
        <v>223</v>
      </c>
      <c r="B28" s="53">
        <v>1.5</v>
      </c>
      <c r="C28" s="51" t="str">
        <f>IF(OR(Fin_Inputs_Entity8!F5="",B14=""),"",Fin_Inputs_Entity8!F5*B14)</f>
        <v/>
      </c>
      <c r="D28" s="51" t="str">
        <f>IF(OR(B28="",C28=""),"",B28*C28)</f>
        <v/>
      </c>
      <c r="E28" s="49"/>
      <c r="F28" s="49"/>
      <c r="G28" s="49"/>
    </row>
    <row r="29" spans="1:8" x14ac:dyDescent="0.3">
      <c r="A29" s="48" t="s">
        <v>224</v>
      </c>
      <c r="B29" s="43">
        <v>10</v>
      </c>
      <c r="C29" s="50" t="str">
        <f>IF(OR(Fin_Inputs_Entity8!F14="",B14=""),"",Fin_Inputs_Entity8!F14*B14)</f>
        <v/>
      </c>
      <c r="D29" s="50" t="str">
        <f>IF(OR(B29="",C29=""),"",B29*C29)</f>
        <v/>
      </c>
      <c r="E29" s="48"/>
      <c r="F29" s="48"/>
      <c r="G29" s="48"/>
    </row>
    <row r="30" spans="1:8" x14ac:dyDescent="0.3">
      <c r="A30" s="48" t="s">
        <v>225</v>
      </c>
      <c r="B30" s="50" t="str">
        <f>IF(COUNT(D27:D29)=0,"",AVERAGE(D27:D29))</f>
        <v/>
      </c>
      <c r="C30" s="50"/>
      <c r="D30" s="50" t="str">
        <f>IF(COUNT(D27:D29)=0,"",AVERAGE(D27:D29))</f>
        <v/>
      </c>
      <c r="E30" s="48"/>
      <c r="F30" s="48"/>
      <c r="G30" s="48"/>
    </row>
    <row r="31" spans="1:8" x14ac:dyDescent="0.3">
      <c r="A31" s="48" t="s">
        <v>384</v>
      </c>
      <c r="B31" s="50" t="str">
        <f>IF(OR(Entity_Ownership!F11="",FX_Conversion!B11=""),"WARNING: Missing Country/Currency Data",IF(OR(B5="",B6="",B7="",B8="",B14=""),"WARNING: Incomplete CAPM / WACC / FX Chain",""))</f>
        <v>WARNING: Missing Country/Currency Data</v>
      </c>
      <c r="C31" s="48"/>
      <c r="D31" s="48"/>
      <c r="E31" s="48"/>
      <c r="F31" s="48"/>
      <c r="G31" s="48"/>
    </row>
    <row r="32" spans="1:8" x14ac:dyDescent="0.3">
      <c r="A32" s="48"/>
      <c r="B32" s="50"/>
      <c r="C32" s="48"/>
      <c r="D32" s="48"/>
      <c r="E32" s="48"/>
      <c r="F32" s="48"/>
      <c r="G32" s="48"/>
    </row>
    <row r="33" spans="1:7" x14ac:dyDescent="0.3">
      <c r="A33" s="107" t="s">
        <v>155</v>
      </c>
      <c r="B33" s="108"/>
      <c r="C33" s="107"/>
      <c r="D33" s="48"/>
      <c r="E33" s="48"/>
      <c r="F33" s="48"/>
      <c r="G33" s="48"/>
    </row>
    <row r="34" spans="1:7" x14ac:dyDescent="0.3">
      <c r="A34" s="48" t="s">
        <v>229</v>
      </c>
      <c r="B34" s="50" t="str">
        <f>B23</f>
        <v/>
      </c>
      <c r="C34" s="48" t="s">
        <v>623</v>
      </c>
      <c r="D34" s="48"/>
      <c r="E34" s="48"/>
      <c r="F34" s="48"/>
      <c r="G34" s="48"/>
    </row>
    <row r="35" spans="1:7" x14ac:dyDescent="0.3">
      <c r="A35" s="48" t="s">
        <v>578</v>
      </c>
      <c r="B35" s="50" t="str">
        <f>B30</f>
        <v/>
      </c>
      <c r="C35" s="48" t="s">
        <v>623</v>
      </c>
      <c r="D35" s="48"/>
      <c r="E35" s="48"/>
      <c r="F35" s="48"/>
      <c r="G35" s="48"/>
    </row>
    <row r="36" spans="1:7" x14ac:dyDescent="0.3">
      <c r="A36" s="48" t="s">
        <v>624</v>
      </c>
      <c r="B36" s="50" t="str">
        <f>IF(COUNT(B34:B35)=0,"",AVERAGE(B34:B35))</f>
        <v/>
      </c>
      <c r="C36" s="48" t="s">
        <v>623</v>
      </c>
      <c r="D36" s="48"/>
      <c r="E36" s="48"/>
      <c r="F36" s="48"/>
      <c r="G36" s="48"/>
    </row>
    <row r="37" spans="1:7" x14ac:dyDescent="0.3">
      <c r="A37" s="48" t="s">
        <v>231</v>
      </c>
      <c r="B37" s="50" t="str">
        <f>IF(B36="","",B36*IF(Entity_Ownership!C11="",1,Entity_Ownership!C11))</f>
        <v/>
      </c>
      <c r="C37" s="48" t="s">
        <v>625</v>
      </c>
      <c r="D37" s="48"/>
      <c r="E37" s="48"/>
      <c r="F37" s="48"/>
      <c r="G37" s="48"/>
    </row>
    <row r="38" spans="1:7" x14ac:dyDescent="0.3">
      <c r="A38" s="49"/>
      <c r="B38" s="51"/>
      <c r="C38" s="49"/>
      <c r="D38" s="49"/>
      <c r="E38" s="49"/>
      <c r="F38" s="49"/>
      <c r="G38" s="49"/>
    </row>
    <row r="39" spans="1:7" x14ac:dyDescent="0.3">
      <c r="A39" s="107" t="s">
        <v>626</v>
      </c>
      <c r="B39" s="107"/>
      <c r="C39" s="107"/>
      <c r="D39" s="107"/>
      <c r="E39" s="107"/>
      <c r="F39" s="107"/>
      <c r="G39" s="107"/>
    </row>
    <row r="40" spans="1:7" x14ac:dyDescent="0.3">
      <c r="A40" s="48" t="s">
        <v>627</v>
      </c>
      <c r="B40" s="54" t="s">
        <v>628</v>
      </c>
      <c r="C40" s="55" t="s">
        <v>629</v>
      </c>
      <c r="D40" s="55" t="s">
        <v>630</v>
      </c>
      <c r="E40" s="48"/>
      <c r="F40" s="48"/>
      <c r="G40" s="48"/>
    </row>
    <row r="41" spans="1:7" x14ac:dyDescent="0.3">
      <c r="A41" s="48" t="s">
        <v>631</v>
      </c>
      <c r="B41" s="50" t="e">
        <f>IF(OR($B$13="",$B$19="",$F$18="",($B$13-0.01)&lt;=($B$19-0.01)),"",SUM($B$21:$F$21)+($F$18*(1+($B$19-0.01))/(($B$13-0.01)-($B$19-0.01)))/(1+($B$13-0.01))^5)</f>
        <v>#VALUE!</v>
      </c>
      <c r="C41" s="50" t="e">
        <f>IF(OR($B$13="",$B$19="",$F$18="",($B$13-0.01)&lt;=($B$19)),"",SUM($B$21:$F$21)+($F$18*(1+$B$19)/(($B$13-0.01)-$B$19))/(1+($B$13-0.01))^5)</f>
        <v>#VALUE!</v>
      </c>
      <c r="D41" s="50" t="e">
        <f>IF(OR($B$13="",$B$19="",$F$18="",($B$13-0.01)&lt;=($B$19+0.01)),"",SUM($B$21:$F$21)+($F$18*(1+($B$19+0.01))/(($B$13-0.01)-($B$19+0.01)))/(1+($B$13-0.01))^5)</f>
        <v>#VALUE!</v>
      </c>
      <c r="E41" s="48"/>
      <c r="F41" s="48"/>
      <c r="G41" s="48"/>
    </row>
    <row r="42" spans="1:7" x14ac:dyDescent="0.3">
      <c r="A42" s="49" t="s">
        <v>632</v>
      </c>
      <c r="B42" s="51" t="str">
        <f>IF(OR($B$13="",$B$19="",$F$18="",($B$13)&lt;=($B$19-0.01)),"",SUM($B$21:$F$21)+($F$18*(1+($B$19-0.01))/($B$13-($B$19-0.01)))/(1+$B$13)^5)</f>
        <v/>
      </c>
      <c r="C42" s="51" t="str">
        <f>B22</f>
        <v/>
      </c>
      <c r="D42" s="51" t="str">
        <f>IF(OR($B$13="",$B$19="",$F$18="",($B$13)&lt;=($B$19+0.01)),"",SUM($B$21:$F$21)+($F$18*(1+($B$19+0.01))/($B$13-($B$19+0.01)))/(1+$B$13)^5)</f>
        <v/>
      </c>
      <c r="E42" s="49"/>
      <c r="F42" s="49"/>
      <c r="G42" s="49"/>
    </row>
    <row r="43" spans="1:7" x14ac:dyDescent="0.3">
      <c r="A43" s="48" t="s">
        <v>633</v>
      </c>
      <c r="B43" s="50" t="e">
        <f>IF(OR($B$13="",$B$19="",$F$18="",($B$13+0.01)&lt;=($B$19-0.01)),"",SUM($B$21:$F$21)+($F$18*(1+($B$19-0.01))/(($B$13+0.01)-($B$19-0.01)))/(1+($B$13+0.01))^5)</f>
        <v>#VALUE!</v>
      </c>
      <c r="C43" s="50" t="e">
        <f>IF(OR($B$13="",$B$19="",$F$18="",($B$13+0.01)&lt;=($B$19)),"",SUM($B$21:$F$21)+($F$18*(1+$B$19)/(($B$13+0.01)-$B$19))/(1+($B$13+0.01))^5)</f>
        <v>#VALUE!</v>
      </c>
      <c r="D43" s="50" t="e">
        <f>IF(OR($B$13="",$B$19="",$F$18="",($B$13+0.01)&lt;=($B$19+0.01)),"",SUM($B$21:$F$21)+($F$18*(1+($B$19+0.01))/(($B$13+0.01)-($B$19+0.01)))/(1+($B$13+0.01))^5)</f>
        <v>#VALUE!</v>
      </c>
      <c r="E43" s="48"/>
      <c r="F43" s="48"/>
      <c r="G43" s="48"/>
    </row>
    <row r="44" spans="1:7" x14ac:dyDescent="0.3">
      <c r="A44" s="48" t="s">
        <v>634</v>
      </c>
      <c r="B44" s="48" t="s">
        <v>649</v>
      </c>
      <c r="C44" s="48"/>
      <c r="D44" s="48"/>
      <c r="E44" s="48"/>
      <c r="F44" s="48"/>
      <c r="G44" s="48"/>
    </row>
    <row r="45" spans="1:7" x14ac:dyDescent="0.3">
      <c r="A45" s="48" t="s">
        <v>384</v>
      </c>
      <c r="B45" s="50" t="str">
        <f>IF(OR(Entity_Ownership!F11="",Entity_Ownership!G11=""),"WARNING: Missing Country/Currency Data",IF(B13="","WARNING: Incomplete CAPM / WACC Chain",""))</f>
        <v>WARNING: Missing Country/Currency Data</v>
      </c>
      <c r="C45" s="48"/>
      <c r="D45" s="48"/>
      <c r="E45" s="48"/>
      <c r="F45" s="48"/>
      <c r="G45" s="48"/>
    </row>
  </sheetData>
  <mergeCells count="6">
    <mergeCell ref="A39:G39"/>
    <mergeCell ref="A1:G1"/>
    <mergeCell ref="A3:C3"/>
    <mergeCell ref="A16:G16"/>
    <mergeCell ref="A25:D25"/>
    <mergeCell ref="A33:C3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3474-E041-4809-8103-DEABCCFD0645}">
  <dimension ref="A1:H45"/>
  <sheetViews>
    <sheetView workbookViewId="0"/>
  </sheetViews>
  <sheetFormatPr defaultRowHeight="14.4" x14ac:dyDescent="0.3"/>
  <cols>
    <col min="1" max="1" width="23.109375" bestFit="1" customWidth="1"/>
    <col min="2" max="2" width="47.88671875" bestFit="1" customWidth="1"/>
    <col min="3" max="3" width="27.109375" bestFit="1" customWidth="1"/>
    <col min="4" max="4" width="9.33203125" bestFit="1" customWidth="1"/>
    <col min="5" max="6" width="6" bestFit="1" customWidth="1"/>
    <col min="7" max="7" width="8.33203125" bestFit="1" customWidth="1"/>
  </cols>
  <sheetData>
    <row r="1" spans="1:7" x14ac:dyDescent="0.3">
      <c r="A1" s="107" t="s">
        <v>650</v>
      </c>
      <c r="B1" s="107"/>
      <c r="C1" s="107"/>
      <c r="D1" s="107"/>
      <c r="E1" s="107"/>
      <c r="F1" s="107"/>
      <c r="G1" s="107"/>
    </row>
    <row r="2" spans="1:7" x14ac:dyDescent="0.3">
      <c r="A2" s="48"/>
      <c r="B2" s="43"/>
      <c r="C2" s="48"/>
      <c r="D2" s="48"/>
      <c r="E2" s="48"/>
      <c r="F2" s="48"/>
      <c r="G2" s="48"/>
    </row>
    <row r="3" spans="1:7" x14ac:dyDescent="0.3">
      <c r="A3" s="107" t="s">
        <v>190</v>
      </c>
      <c r="B3" s="107"/>
      <c r="C3" s="107"/>
      <c r="D3" s="49"/>
      <c r="E3" s="49"/>
      <c r="F3" s="49"/>
      <c r="G3" s="49"/>
    </row>
    <row r="4" spans="1:7" x14ac:dyDescent="0.3">
      <c r="A4" s="48" t="s">
        <v>16</v>
      </c>
      <c r="B4" s="48" t="s">
        <v>91</v>
      </c>
      <c r="C4" s="48" t="s">
        <v>90</v>
      </c>
      <c r="D4" s="48"/>
      <c r="E4" s="48"/>
      <c r="F4" s="48"/>
      <c r="G4" s="48"/>
    </row>
    <row r="5" spans="1:7" x14ac:dyDescent="0.3">
      <c r="A5" s="48" t="s">
        <v>191</v>
      </c>
      <c r="B5" s="50" t="str">
        <f>IF(AND(Entity_Ownership!$F$12&lt;&gt;"",UPPER(Entity_Ownership!$F$12)&lt;&gt;"UNITED STATES",COUNTIFS(Global_Rates!$B$4:$B$73,"Entity 9",Global_Rates!$A$4:$A$73,"Local 10-Year Government Bond Yield",Global_Rates!$F$4:$F$73,"&lt;&gt;")&gt;0),SUMIFS(Global_Rates!$F$4:$F$73,Global_Rates!$B$4:$B$73,"Entity 9",Global_Rates!$A$4:$A$73,"Local 10-Year Government Bond Yield"),IF(COUNTIFS(Global_Rates!$B$4:$B$73,"Entity 9",Global_Rates!$A$4:$A$73,"U.S. 10-Year Treasury",Global_Rates!$F$4:$F$73,"&lt;&gt;")&gt;0,SUMIFS(Global_Rates!$F$4:$F$73,Global_Rates!$B$4:$B$73,"Entity 9",Global_Rates!$A$4:$A$73,"U.S. 10-Year Treasury"),""))</f>
        <v/>
      </c>
      <c r="C5" s="48" t="s">
        <v>614</v>
      </c>
      <c r="D5" s="48"/>
      <c r="E5" s="48"/>
      <c r="F5" s="48"/>
      <c r="G5" s="48"/>
    </row>
    <row r="6" spans="1:7" x14ac:dyDescent="0.3">
      <c r="A6" s="48" t="s">
        <v>193</v>
      </c>
      <c r="B6" s="50" t="str">
        <f>IF(COUNTIFS(Global_Rates!$B$4:$B$73,"Entity 9",Global_Rates!$A$4:$A$73,"Beta",Global_Rates!$F$4:$F$73,"&lt;&gt;")&gt;0,SUMIFS(Global_Rates!$F$4:$F$73,Global_Rates!$B$4:$B$73,"Entity 9",Global_Rates!$A$4:$A$73,"Beta"),"")</f>
        <v/>
      </c>
      <c r="C6" s="48" t="s">
        <v>615</v>
      </c>
      <c r="D6" s="48"/>
      <c r="E6" s="48"/>
      <c r="F6" s="48"/>
      <c r="G6" s="48"/>
    </row>
    <row r="7" spans="1:7" x14ac:dyDescent="0.3">
      <c r="A7" s="48" t="s">
        <v>195</v>
      </c>
      <c r="B7" s="50" t="str">
        <f>IF(AND(Entity_Ownership!$F$12&lt;&gt;"",UPPER(Entity_Ownership!$F$12)&lt;&gt;"UNITED STATES",COUNTIFS(Global_Rates!$B$4:$B$73,"Entity 9",Global_Rates!$A$4:$A$73,"Local Market Risk Premium",Global_Rates!$F$4:$F$73,"&lt;&gt;")&gt;0),SUMIFS(Global_Rates!$F$4:$F$73,Global_Rates!$B$4:$B$73,"Entity 9",Global_Rates!$A$4:$A$73,"Local Market Risk Premium"),IF(COUNTIFS(Global_Rates!$B$4:$B$73,"Entity 9",Global_Rates!$A$4:$A$73,"U.S. Market Risk Premium",Global_Rates!$F$4:$F$73,"&lt;&gt;")&gt;0,SUMIFS(Global_Rates!$F$4:$F$73,Global_Rates!$B$4:$B$73,"Entity 9",Global_Rates!$A$4:$A$73,"U.S. Market Risk Premium"),""))</f>
        <v/>
      </c>
      <c r="C7" s="48" t="s">
        <v>614</v>
      </c>
      <c r="D7" s="48"/>
      <c r="E7" s="48"/>
      <c r="F7" s="48"/>
      <c r="G7" s="48"/>
    </row>
    <row r="8" spans="1:7" x14ac:dyDescent="0.3">
      <c r="A8" s="48" t="s">
        <v>197</v>
      </c>
      <c r="B8" s="50" t="str">
        <f>IF(AND(Entity_Ownership!$F$12&lt;&gt;"",UPPER(Entity_Ownership!$F$12)&lt;&gt;"UNITED STATES",COUNTIFS(Global_Rates!$B$4:$B$73,"Entity 9",Global_Rates!$A$4:$A$73,"Local Corporate Bond Yield",Global_Rates!$F$4:$F$73,"&lt;&gt;")&gt;0),SUMIFS(Global_Rates!$F$4:$F$73,Global_Rates!$B$4:$B$73,"Entity 9",Global_Rates!$A$4:$A$73,"Local Corporate Bond Yield"),IF(COUNTIFS(Global_Rates!$B$4:$B$73,"Entity 9",Global_Rates!$A$4:$A$73,"U.S. Corporate Bond Yield",Global_Rates!$F$4:$F$73,"&lt;&gt;")&gt;0,SUMIFS(Global_Rates!$F$4:$F$73,Global_Rates!$B$4:$B$73,"Entity 9",Global_Rates!$A$4:$A$73,"U.S. Corporate Bond Yield"),""))</f>
        <v/>
      </c>
      <c r="C8" s="48" t="s">
        <v>616</v>
      </c>
      <c r="D8" s="48"/>
      <c r="E8" s="48"/>
      <c r="F8" s="48"/>
      <c r="G8" s="48"/>
    </row>
    <row r="9" spans="1:7" x14ac:dyDescent="0.3">
      <c r="A9" s="48" t="s">
        <v>199</v>
      </c>
      <c r="B9" s="50" t="str">
        <f>IF(OR(Fin_Inputs_Entity9!F13="",Fin_Inputs_Entity9!F11="",Fin_Inputs_Entity9!F11=0),"",ABS(Fin_Inputs_Entity9!F13/Fin_Inputs_Entity9!F11))</f>
        <v/>
      </c>
      <c r="C9" s="48" t="s">
        <v>617</v>
      </c>
      <c r="D9" s="48"/>
      <c r="E9" s="48"/>
      <c r="F9" s="48"/>
      <c r="G9" s="48"/>
    </row>
    <row r="10" spans="1:7" x14ac:dyDescent="0.3">
      <c r="A10" s="48" t="s">
        <v>201</v>
      </c>
      <c r="B10" s="50" t="str">
        <f>IF((N(Fin_Inputs_Entity9!F26)+N(Fin_Inputs_Entity9!F27)+N(Fin_Inputs_Entity9!F29))=0,"",(N(Fin_Inputs_Entity9!F26)+N(Fin_Inputs_Entity9!F27))/(N(Fin_Inputs_Entity9!F26)+N(Fin_Inputs_Entity9!F27)+N(Fin_Inputs_Entity9!F29)))</f>
        <v/>
      </c>
      <c r="C10" s="48" t="s">
        <v>618</v>
      </c>
      <c r="D10" s="48"/>
      <c r="E10" s="48"/>
      <c r="F10" s="48"/>
      <c r="G10" s="48"/>
    </row>
    <row r="11" spans="1:7" x14ac:dyDescent="0.3">
      <c r="A11" s="48" t="s">
        <v>203</v>
      </c>
      <c r="B11" s="50" t="str">
        <f>IF((N(Fin_Inputs_Entity9!F26)+N(Fin_Inputs_Entity9!F27)+N(Fin_Inputs_Entity9!F29))=0,"",N(Fin_Inputs_Entity9!F29)/(N(Fin_Inputs_Entity9!F26)+N(Fin_Inputs_Entity9!F27)+N(Fin_Inputs_Entity9!F29)))</f>
        <v/>
      </c>
      <c r="C11" s="48" t="s">
        <v>619</v>
      </c>
      <c r="D11" s="48"/>
      <c r="E11" s="48"/>
      <c r="F11" s="48"/>
      <c r="G11" s="48"/>
    </row>
    <row r="12" spans="1:7" x14ac:dyDescent="0.3">
      <c r="A12" s="48" t="s">
        <v>205</v>
      </c>
      <c r="B12" s="50" t="str">
        <f>IF(COUNT(B5:B7)&lt;3,"",B5+B6*B7)</f>
        <v/>
      </c>
      <c r="C12" s="48" t="s">
        <v>452</v>
      </c>
      <c r="D12" s="48"/>
      <c r="E12" s="48"/>
      <c r="F12" s="48"/>
      <c r="G12" s="48"/>
    </row>
    <row r="13" spans="1:7" x14ac:dyDescent="0.3">
      <c r="A13" s="48" t="s">
        <v>207</v>
      </c>
      <c r="B13" s="50" t="str">
        <f>IF(COUNT(B8:B12)&lt;5,"",(B11*B12)+(B10*B8*(1-B9)))</f>
        <v/>
      </c>
      <c r="C13" s="48" t="s">
        <v>620</v>
      </c>
      <c r="D13" s="48"/>
      <c r="E13" s="48"/>
      <c r="F13" s="48"/>
      <c r="G13" s="48"/>
    </row>
    <row r="14" spans="1:7" x14ac:dyDescent="0.3">
      <c r="A14" s="48" t="s">
        <v>621</v>
      </c>
      <c r="B14" s="50" t="str">
        <f>IF(FX_Rate_Entity9="","",FX_Rate_Entity9)</f>
        <v/>
      </c>
      <c r="C14" s="48" t="s">
        <v>622</v>
      </c>
      <c r="D14" s="48"/>
      <c r="E14" s="48"/>
      <c r="F14" s="48"/>
      <c r="G14" s="48"/>
    </row>
    <row r="15" spans="1:7" x14ac:dyDescent="0.3">
      <c r="A15" s="48" t="s">
        <v>209</v>
      </c>
      <c r="B15" s="50"/>
      <c r="C15" s="48"/>
      <c r="D15" s="48"/>
      <c r="E15" s="48"/>
      <c r="F15" s="48"/>
      <c r="G15" s="48"/>
    </row>
    <row r="16" spans="1:7" x14ac:dyDescent="0.3">
      <c r="A16" s="107" t="s">
        <v>155</v>
      </c>
      <c r="B16" s="108"/>
      <c r="C16" s="107"/>
      <c r="D16" s="107"/>
      <c r="E16" s="107"/>
      <c r="F16" s="107"/>
      <c r="G16" s="107"/>
    </row>
    <row r="17" spans="1:8" x14ac:dyDescent="0.3">
      <c r="A17" s="49" t="s">
        <v>211</v>
      </c>
      <c r="B17" s="51" t="s">
        <v>108</v>
      </c>
      <c r="C17" s="51" t="s">
        <v>109</v>
      </c>
      <c r="D17" s="51" t="s">
        <v>110</v>
      </c>
      <c r="E17" s="51" t="s">
        <v>111</v>
      </c>
      <c r="F17" s="51" t="s">
        <v>112</v>
      </c>
      <c r="G17" s="51" t="s">
        <v>210</v>
      </c>
    </row>
    <row r="18" spans="1:8" x14ac:dyDescent="0.3">
      <c r="A18" s="48" t="s">
        <v>212</v>
      </c>
      <c r="B18" s="50" t="str">
        <f>IF(OR(Fin_Inputs_Entity9!B37="",B14=""),"",Fin_Inputs_Entity9!B37*B14*(1+N(Scenario_Analysis!$E$4)-N(Scenario_Analysis!$E$6)-N(Scenario_Analysis!$E$7)))</f>
        <v/>
      </c>
      <c r="C18" s="50" t="str">
        <f>IF(OR(Fin_Inputs_Entity9!C37="",B14=""),"",Fin_Inputs_Entity9!C37*B14*(1+N(Scenario_Analysis!$E$4)-N(Scenario_Analysis!$E$6)-N(Scenario_Analysis!$E$7)))</f>
        <v/>
      </c>
      <c r="D18" s="50" t="str">
        <f>IF(OR(Fin_Inputs_Entity9!D37="",B14=""),"",Fin_Inputs_Entity9!D37*B14*(1+N(Scenario_Analysis!$E$4)-N(Scenario_Analysis!$E$6)-N(Scenario_Analysis!$E$7)))</f>
        <v/>
      </c>
      <c r="E18" s="50" t="str">
        <f>IF(OR(Fin_Inputs_Entity9!E37="",B14=""),"",Fin_Inputs_Entity9!E37*B14*(1+N(Scenario_Analysis!$E$4)-N(Scenario_Analysis!$E$6)-N(Scenario_Analysis!$E$7)))</f>
        <v/>
      </c>
      <c r="F18" s="50" t="str">
        <f>IF(OR(Fin_Inputs_Entity9!F37="",B14=""),"",Fin_Inputs_Entity9!F37*B14*(1+N(Scenario_Analysis!$E$4)-N(Scenario_Analysis!$E$6)-N(Scenario_Analysis!$E$7)))</f>
        <v/>
      </c>
      <c r="G18" s="50"/>
    </row>
    <row r="19" spans="1:8" x14ac:dyDescent="0.3">
      <c r="A19" s="48" t="s">
        <v>213</v>
      </c>
      <c r="B19" s="52">
        <v>0.02</v>
      </c>
      <c r="C19" s="52"/>
      <c r="D19" s="52"/>
      <c r="E19" s="52"/>
      <c r="F19" s="52"/>
      <c r="G19" s="50" t="str">
        <f>IF(OR(F18="",B13="",B19="",B13&lt;=B19),"",F18*(1+B19)/(B13-B19))</f>
        <v/>
      </c>
    </row>
    <row r="20" spans="1:8" x14ac:dyDescent="0.3">
      <c r="A20" s="48" t="s">
        <v>214</v>
      </c>
      <c r="B20" s="50" t="str">
        <f>IF(B13="","",1/(1+B13)^1)</f>
        <v/>
      </c>
      <c r="C20" s="50" t="str">
        <f>IF(B13="","",1/(1+B13)^2)</f>
        <v/>
      </c>
      <c r="D20" s="50" t="str">
        <f>IF(B13="","",1/(1+B13)^3)</f>
        <v/>
      </c>
      <c r="E20" s="50" t="str">
        <f>IF(B13="","",1/(1+B13)^4)</f>
        <v/>
      </c>
      <c r="F20" s="50" t="str">
        <f>IF(B13="","",1/(1+B13)^5)</f>
        <v/>
      </c>
      <c r="G20" s="50" t="str">
        <f>IF(B13="","",1/(1+B13)^5)</f>
        <v/>
      </c>
    </row>
    <row r="21" spans="1:8" x14ac:dyDescent="0.3">
      <c r="A21" s="48" t="s">
        <v>215</v>
      </c>
      <c r="B21" s="50" t="str">
        <f>IF(OR(B18="",B20=""),"",B18*B20)</f>
        <v/>
      </c>
      <c r="C21" s="50" t="str">
        <f>IF(OR(C18="",C20=""),"",C18*C20)</f>
        <v/>
      </c>
      <c r="D21" s="50" t="str">
        <f>IF(OR(D18="",D20=""),"",D18*D20)</f>
        <v/>
      </c>
      <c r="E21" s="50" t="str">
        <f>IF(OR(E18="",E20=""),"",E18*E20)</f>
        <v/>
      </c>
      <c r="F21" s="50" t="str">
        <f>IF(OR(F18="",F20=""),"",F18*F20)</f>
        <v/>
      </c>
      <c r="G21" s="50" t="str">
        <f>IF(OR(G19="",G20=""),"",G19*G20)</f>
        <v/>
      </c>
    </row>
    <row r="22" spans="1:8" x14ac:dyDescent="0.3">
      <c r="A22" s="48" t="s">
        <v>216</v>
      </c>
      <c r="B22" s="50" t="str">
        <f>IF(COUNT(B21:G21)=0,"",SUM(B21:G21))</f>
        <v/>
      </c>
      <c r="C22" s="50" t="str">
        <f>IF(OR(C18="",C21=""),"",C18*C21)</f>
        <v/>
      </c>
      <c r="D22" s="50" t="str">
        <f>IF(OR(D18="",D21=""),"",D18*D21)</f>
        <v/>
      </c>
      <c r="E22" s="50" t="str">
        <f>IF(OR(E18="",E21=""),"",E18*E21)</f>
        <v/>
      </c>
      <c r="F22" s="50" t="str">
        <f>IF(OR(F18="",F21=""),"",F18*F21)</f>
        <v/>
      </c>
      <c r="G22" s="50" t="str">
        <f>IF(OR(G20="",G21=""),"",G20*G21)</f>
        <v/>
      </c>
    </row>
    <row r="23" spans="1:8" x14ac:dyDescent="0.3">
      <c r="A23" s="48" t="s">
        <v>216</v>
      </c>
      <c r="B23" s="50" t="str">
        <f>IF(COUNT(B22:G22)=0,"",SUM(B22:G22))</f>
        <v/>
      </c>
      <c r="C23" s="50"/>
      <c r="D23" s="50"/>
      <c r="E23" s="50"/>
      <c r="F23" s="50"/>
      <c r="G23" s="50"/>
      <c r="H23" t="str">
        <f>IF(OR(F21="",B13="",B22="",B13&lt;=B22),"",F21*(1+B22)/(B13-B22))</f>
        <v/>
      </c>
    </row>
    <row r="24" spans="1:8" x14ac:dyDescent="0.3">
      <c r="A24" s="48"/>
      <c r="B24" s="50"/>
      <c r="C24" s="50"/>
      <c r="D24" s="50"/>
      <c r="E24" s="50"/>
      <c r="F24" s="50"/>
      <c r="G24" s="50"/>
    </row>
    <row r="25" spans="1:8" x14ac:dyDescent="0.3">
      <c r="A25" s="107" t="s">
        <v>218</v>
      </c>
      <c r="B25" s="107"/>
      <c r="C25" s="107"/>
      <c r="D25" s="107"/>
      <c r="E25" s="50"/>
      <c r="F25" s="50"/>
      <c r="G25" s="50"/>
    </row>
    <row r="26" spans="1:8" x14ac:dyDescent="0.3">
      <c r="A26" s="48" t="s">
        <v>218</v>
      </c>
      <c r="B26" s="50" t="s">
        <v>219</v>
      </c>
      <c r="C26" s="48" t="s">
        <v>220</v>
      </c>
      <c r="D26" s="48" t="s">
        <v>221</v>
      </c>
      <c r="E26" s="48"/>
      <c r="F26" s="48"/>
      <c r="G26" s="48"/>
    </row>
    <row r="27" spans="1:8" x14ac:dyDescent="0.3">
      <c r="A27" s="48" t="s">
        <v>222</v>
      </c>
      <c r="B27" s="43">
        <v>6</v>
      </c>
      <c r="C27" s="50" t="str">
        <f>IF(OR(Fin_Inputs_Entity9!F9="",B14=""),"",Fin_Inputs_Entity9!F9*B14)</f>
        <v/>
      </c>
      <c r="D27" s="50" t="str">
        <f>IF(OR(B27="",C27=""),"",B27*C27)</f>
        <v/>
      </c>
      <c r="E27" s="48"/>
      <c r="F27" s="48"/>
      <c r="G27" s="48"/>
    </row>
    <row r="28" spans="1:8" x14ac:dyDescent="0.3">
      <c r="A28" s="49" t="s">
        <v>223</v>
      </c>
      <c r="B28" s="53">
        <v>1.5</v>
      </c>
      <c r="C28" s="51" t="str">
        <f>IF(OR(Fin_Inputs_Entity9!F5="",B14=""),"",Fin_Inputs_Entity9!F5*B14)</f>
        <v/>
      </c>
      <c r="D28" s="51" t="str">
        <f>IF(OR(B28="",C28=""),"",B28*C28)</f>
        <v/>
      </c>
      <c r="E28" s="49"/>
      <c r="F28" s="49"/>
      <c r="G28" s="49"/>
    </row>
    <row r="29" spans="1:8" x14ac:dyDescent="0.3">
      <c r="A29" s="48" t="s">
        <v>224</v>
      </c>
      <c r="B29" s="43">
        <v>10</v>
      </c>
      <c r="C29" s="50" t="str">
        <f>IF(OR(Fin_Inputs_Entity9!F14="",B14=""),"",Fin_Inputs_Entity9!F14*B14)</f>
        <v/>
      </c>
      <c r="D29" s="50" t="str">
        <f>IF(OR(B29="",C29=""),"",B29*C29)</f>
        <v/>
      </c>
      <c r="E29" s="48"/>
      <c r="F29" s="48"/>
      <c r="G29" s="48"/>
    </row>
    <row r="30" spans="1:8" x14ac:dyDescent="0.3">
      <c r="A30" s="48" t="s">
        <v>225</v>
      </c>
      <c r="B30" s="50" t="str">
        <f>IF(COUNT(D27:D29)=0,"",AVERAGE(D27:D29))</f>
        <v/>
      </c>
      <c r="C30" s="50"/>
      <c r="D30" s="50" t="str">
        <f>IF(COUNT(D27:D29)=0,"",AVERAGE(D27:D29))</f>
        <v/>
      </c>
      <c r="E30" s="48"/>
      <c r="F30" s="48"/>
      <c r="G30" s="48"/>
    </row>
    <row r="31" spans="1:8" x14ac:dyDescent="0.3">
      <c r="A31" s="48" t="s">
        <v>384</v>
      </c>
      <c r="B31" s="50" t="str">
        <f>IF(OR(Entity_Ownership!F12="",FX_Conversion!B12=""),"WARNING: Missing Country/Currency Data",IF(OR(B5="",B6="",B7="",B8="",B14=""),"WARNING: Incomplete CAPM / WACC / FX Chain",""))</f>
        <v>WARNING: Missing Country/Currency Data</v>
      </c>
      <c r="C31" s="48"/>
      <c r="D31" s="48"/>
      <c r="E31" s="48"/>
      <c r="F31" s="48"/>
      <c r="G31" s="48"/>
    </row>
    <row r="32" spans="1:8" x14ac:dyDescent="0.3">
      <c r="A32" s="48"/>
      <c r="B32" s="50"/>
      <c r="C32" s="48"/>
      <c r="D32" s="48"/>
      <c r="E32" s="48"/>
      <c r="F32" s="48"/>
      <c r="G32" s="48"/>
    </row>
    <row r="33" spans="1:7" x14ac:dyDescent="0.3">
      <c r="A33" s="107" t="s">
        <v>155</v>
      </c>
      <c r="B33" s="108"/>
      <c r="C33" s="107"/>
      <c r="D33" s="48"/>
      <c r="E33" s="48"/>
      <c r="F33" s="48"/>
      <c r="G33" s="48"/>
    </row>
    <row r="34" spans="1:7" x14ac:dyDescent="0.3">
      <c r="A34" s="48" t="s">
        <v>229</v>
      </c>
      <c r="B34" s="50" t="str">
        <f>B23</f>
        <v/>
      </c>
      <c r="C34" s="48" t="s">
        <v>623</v>
      </c>
      <c r="D34" s="48"/>
      <c r="E34" s="48"/>
      <c r="F34" s="48"/>
      <c r="G34" s="48"/>
    </row>
    <row r="35" spans="1:7" x14ac:dyDescent="0.3">
      <c r="A35" s="48" t="s">
        <v>578</v>
      </c>
      <c r="B35" s="50" t="str">
        <f>B30</f>
        <v/>
      </c>
      <c r="C35" s="48" t="s">
        <v>623</v>
      </c>
      <c r="D35" s="48"/>
      <c r="E35" s="48"/>
      <c r="F35" s="48"/>
      <c r="G35" s="48"/>
    </row>
    <row r="36" spans="1:7" x14ac:dyDescent="0.3">
      <c r="A36" s="48" t="s">
        <v>624</v>
      </c>
      <c r="B36" s="50" t="str">
        <f>IF(COUNT(B34:B35)=0,"",AVERAGE(B34:B35))</f>
        <v/>
      </c>
      <c r="C36" s="48" t="s">
        <v>623</v>
      </c>
      <c r="D36" s="48"/>
      <c r="E36" s="48"/>
      <c r="F36" s="48"/>
      <c r="G36" s="48"/>
    </row>
    <row r="37" spans="1:7" x14ac:dyDescent="0.3">
      <c r="A37" s="48" t="s">
        <v>231</v>
      </c>
      <c r="B37" s="50" t="str">
        <f>IF(B36="","",B36*IF(Entity_Ownership!C12="",1,Entity_Ownership!C12))</f>
        <v/>
      </c>
      <c r="C37" s="48" t="s">
        <v>625</v>
      </c>
      <c r="D37" s="48"/>
      <c r="E37" s="48"/>
      <c r="F37" s="48"/>
      <c r="G37" s="48"/>
    </row>
    <row r="38" spans="1:7" x14ac:dyDescent="0.3">
      <c r="A38" s="49"/>
      <c r="B38" s="51"/>
      <c r="C38" s="49"/>
      <c r="D38" s="49"/>
      <c r="E38" s="49"/>
      <c r="F38" s="49"/>
      <c r="G38" s="49"/>
    </row>
    <row r="39" spans="1:7" x14ac:dyDescent="0.3">
      <c r="A39" s="107" t="s">
        <v>626</v>
      </c>
      <c r="B39" s="107"/>
      <c r="C39" s="107"/>
      <c r="D39" s="107"/>
      <c r="E39" s="107"/>
      <c r="F39" s="107"/>
      <c r="G39" s="107"/>
    </row>
    <row r="40" spans="1:7" x14ac:dyDescent="0.3">
      <c r="A40" s="48" t="s">
        <v>627</v>
      </c>
      <c r="B40" s="54" t="s">
        <v>628</v>
      </c>
      <c r="C40" s="55" t="s">
        <v>629</v>
      </c>
      <c r="D40" s="55" t="s">
        <v>630</v>
      </c>
      <c r="E40" s="48"/>
      <c r="F40" s="48"/>
      <c r="G40" s="48"/>
    </row>
    <row r="41" spans="1:7" x14ac:dyDescent="0.3">
      <c r="A41" s="48" t="s">
        <v>631</v>
      </c>
      <c r="B41" s="50" t="e">
        <f>IF(OR($B$13="",$B$19="",$F$18="",($B$13-0.01)&lt;=($B$19-0.01)),"",SUM($B$21:$F$21)+($F$18*(1+($B$19-0.01))/(($B$13-0.01)-($B$19-0.01)))/(1+($B$13-0.01))^5)</f>
        <v>#VALUE!</v>
      </c>
      <c r="C41" s="50" t="e">
        <f>IF(OR($B$13="",$B$19="",$F$18="",($B$13-0.01)&lt;=($B$19)),"",SUM($B$21:$F$21)+($F$18*(1+$B$19)/(($B$13-0.01)-$B$19))/(1+($B$13-0.01))^5)</f>
        <v>#VALUE!</v>
      </c>
      <c r="D41" s="50" t="e">
        <f>IF(OR($B$13="",$B$19="",$F$18="",($B$13-0.01)&lt;=($B$19+0.01)),"",SUM($B$21:$F$21)+($F$18*(1+($B$19+0.01))/(($B$13-0.01)-($B$19+0.01)))/(1+($B$13-0.01))^5)</f>
        <v>#VALUE!</v>
      </c>
      <c r="E41" s="48"/>
      <c r="F41" s="48"/>
      <c r="G41" s="48"/>
    </row>
    <row r="42" spans="1:7" x14ac:dyDescent="0.3">
      <c r="A42" s="49" t="s">
        <v>632</v>
      </c>
      <c r="B42" s="51" t="str">
        <f>IF(OR($B$13="",$B$19="",$F$18="",($B$13)&lt;=($B$19-0.01)),"",SUM($B$21:$F$21)+($F$18*(1+($B$19-0.01))/($B$13-($B$19-0.01)))/(1+$B$13)^5)</f>
        <v/>
      </c>
      <c r="C42" s="51" t="str">
        <f>B22</f>
        <v/>
      </c>
      <c r="D42" s="51" t="str">
        <f>IF(OR($B$13="",$B$19="",$F$18="",($B$13)&lt;=($B$19+0.01)),"",SUM($B$21:$F$21)+($F$18*(1+($B$19+0.01))/($B$13-($B$19+0.01)))/(1+$B$13)^5)</f>
        <v/>
      </c>
      <c r="E42" s="49"/>
      <c r="F42" s="49"/>
      <c r="G42" s="49"/>
    </row>
    <row r="43" spans="1:7" x14ac:dyDescent="0.3">
      <c r="A43" s="48" t="s">
        <v>633</v>
      </c>
      <c r="B43" s="50" t="e">
        <f>IF(OR($B$13="",$B$19="",$F$18="",($B$13+0.01)&lt;=($B$19-0.01)),"",SUM($B$21:$F$21)+($F$18*(1+($B$19-0.01))/(($B$13+0.01)-($B$19-0.01)))/(1+($B$13+0.01))^5)</f>
        <v>#VALUE!</v>
      </c>
      <c r="C43" s="50" t="e">
        <f>IF(OR($B$13="",$B$19="",$F$18="",($B$13+0.01)&lt;=($B$19)),"",SUM($B$21:$F$21)+($F$18*(1+$B$19)/(($B$13+0.01)-$B$19))/(1+($B$13+0.01))^5)</f>
        <v>#VALUE!</v>
      </c>
      <c r="D43" s="50" t="e">
        <f>IF(OR($B$13="",$B$19="",$F$18="",($B$13+0.01)&lt;=($B$19+0.01)),"",SUM($B$21:$F$21)+($F$18*(1+($B$19+0.01))/(($B$13+0.01)-($B$19+0.01)))/(1+($B$13+0.01))^5)</f>
        <v>#VALUE!</v>
      </c>
      <c r="E43" s="48"/>
      <c r="F43" s="48"/>
      <c r="G43" s="48"/>
    </row>
    <row r="44" spans="1:7" x14ac:dyDescent="0.3">
      <c r="A44" s="48" t="s">
        <v>634</v>
      </c>
      <c r="B44" s="48" t="s">
        <v>651</v>
      </c>
      <c r="C44" s="48"/>
      <c r="D44" s="48"/>
      <c r="E44" s="48"/>
      <c r="F44" s="48"/>
      <c r="G44" s="48"/>
    </row>
    <row r="45" spans="1:7" x14ac:dyDescent="0.3">
      <c r="A45" s="48" t="s">
        <v>384</v>
      </c>
      <c r="B45" s="50" t="str">
        <f>IF(OR(Entity_Ownership!F12="",Entity_Ownership!G12=""),"WARNING: Missing Country/Currency Data",IF(B13="","WARNING: Incomplete CAPM / WACC Chain",""))</f>
        <v>WARNING: Missing Country/Currency Data</v>
      </c>
      <c r="C45" s="48"/>
      <c r="D45" s="48"/>
      <c r="E45" s="48"/>
      <c r="F45" s="48"/>
      <c r="G45" s="48"/>
    </row>
  </sheetData>
  <mergeCells count="6">
    <mergeCell ref="A39:G39"/>
    <mergeCell ref="A1:G1"/>
    <mergeCell ref="A3:C3"/>
    <mergeCell ref="A16:G16"/>
    <mergeCell ref="A25:D25"/>
    <mergeCell ref="A33:C3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3CCF-A07C-4EB0-A168-0DDC9C7B0787}">
  <dimension ref="A1:H45"/>
  <sheetViews>
    <sheetView workbookViewId="0"/>
  </sheetViews>
  <sheetFormatPr defaultRowHeight="14.4" x14ac:dyDescent="0.3"/>
  <cols>
    <col min="1" max="1" width="23.109375" bestFit="1" customWidth="1"/>
    <col min="2" max="2" width="48.88671875" bestFit="1" customWidth="1"/>
    <col min="3" max="3" width="27.109375" bestFit="1" customWidth="1"/>
    <col min="4" max="4" width="9.33203125" bestFit="1" customWidth="1"/>
    <col min="5" max="6" width="6" bestFit="1" customWidth="1"/>
    <col min="7" max="7" width="8.33203125" bestFit="1" customWidth="1"/>
  </cols>
  <sheetData>
    <row r="1" spans="1:7" x14ac:dyDescent="0.3">
      <c r="A1" s="107" t="s">
        <v>652</v>
      </c>
      <c r="B1" s="107"/>
      <c r="C1" s="107"/>
      <c r="D1" s="107"/>
      <c r="E1" s="107"/>
      <c r="F1" s="107"/>
      <c r="G1" s="107"/>
    </row>
    <row r="2" spans="1:7" x14ac:dyDescent="0.3">
      <c r="A2" s="48"/>
      <c r="B2" s="43"/>
      <c r="C2" s="48"/>
      <c r="D2" s="48"/>
      <c r="E2" s="48"/>
      <c r="F2" s="48"/>
      <c r="G2" s="48"/>
    </row>
    <row r="3" spans="1:7" x14ac:dyDescent="0.3">
      <c r="A3" s="107" t="s">
        <v>190</v>
      </c>
      <c r="B3" s="107"/>
      <c r="C3" s="107"/>
      <c r="D3" s="49"/>
      <c r="E3" s="49"/>
      <c r="F3" s="49"/>
      <c r="G3" s="49"/>
    </row>
    <row r="4" spans="1:7" x14ac:dyDescent="0.3">
      <c r="A4" s="48" t="s">
        <v>16</v>
      </c>
      <c r="B4" s="48" t="s">
        <v>91</v>
      </c>
      <c r="C4" s="48" t="s">
        <v>90</v>
      </c>
      <c r="D4" s="48"/>
      <c r="E4" s="48"/>
      <c r="F4" s="48"/>
      <c r="G4" s="48"/>
    </row>
    <row r="5" spans="1:7" x14ac:dyDescent="0.3">
      <c r="A5" s="48" t="s">
        <v>191</v>
      </c>
      <c r="B5" s="50" t="str">
        <f>IF(AND(Entity_Ownership!$F$13&lt;&gt;"",UPPER(Entity_Ownership!$F$13)&lt;&gt;"UNITED STATES",COUNTIFS(Global_Rates!$B$4:$B$73,"Entity 10",Global_Rates!$A$4:$A$73,"Local 10-Year Government Bond Yield",Global_Rates!$F$4:$F$73,"&lt;&gt;")&gt;0),SUMIFS(Global_Rates!$F$4:$F$73,Global_Rates!$B$4:$B$73,"Entity 10",Global_Rates!$A$4:$A$73,"Local 10-Year Government Bond Yield"),IF(COUNTIFS(Global_Rates!$B$4:$B$73,"Entity 10",Global_Rates!$A$4:$A$73,"U.S. 10-Year Treasury",Global_Rates!$F$4:$F$73,"&lt;&gt;")&gt;0,SUMIFS(Global_Rates!$F$4:$F$73,Global_Rates!$B$4:$B$73,"Entity 10",Global_Rates!$A$4:$A$73,"U.S. 10-Year Treasury"),""))</f>
        <v/>
      </c>
      <c r="C5" s="48" t="s">
        <v>614</v>
      </c>
      <c r="D5" s="48"/>
      <c r="E5" s="48"/>
      <c r="F5" s="48"/>
      <c r="G5" s="48"/>
    </row>
    <row r="6" spans="1:7" x14ac:dyDescent="0.3">
      <c r="A6" s="48" t="s">
        <v>193</v>
      </c>
      <c r="B6" s="50" t="str">
        <f>IF(COUNTIFS(Global_Rates!$B$4:$B$73,"Entity 10",Global_Rates!$A$4:$A$73,"Beta",Global_Rates!$F$4:$F$73,"&lt;&gt;")&gt;0,SUMIFS(Global_Rates!$F$4:$F$73,Global_Rates!$B$4:$B$73,"Entity 10",Global_Rates!$A$4:$A$73,"Beta"),"")</f>
        <v/>
      </c>
      <c r="C6" s="48" t="s">
        <v>615</v>
      </c>
      <c r="D6" s="48"/>
      <c r="E6" s="48"/>
      <c r="F6" s="48"/>
      <c r="G6" s="48"/>
    </row>
    <row r="7" spans="1:7" x14ac:dyDescent="0.3">
      <c r="A7" s="48" t="s">
        <v>195</v>
      </c>
      <c r="B7" s="50" t="str">
        <f>IF(AND(Entity_Ownership!$F$13&lt;&gt;"",UPPER(Entity_Ownership!$F$13)&lt;&gt;"UNITED STATES",COUNTIFS(Global_Rates!$B$4:$B$73,"Entity 10",Global_Rates!$A$4:$A$73,"Local Market Risk Premium",Global_Rates!$F$4:$F$73,"&lt;&gt;")&gt;0),SUMIFS(Global_Rates!$F$4:$F$73,Global_Rates!$B$4:$B$73,"Entity 10",Global_Rates!$A$4:$A$73,"Local Market Risk Premium"),IF(COUNTIFS(Global_Rates!$B$4:$B$73,"Entity 10",Global_Rates!$A$4:$A$73,"U.S. Market Risk Premium",Global_Rates!$F$4:$F$73,"&lt;&gt;")&gt;0,SUMIFS(Global_Rates!$F$4:$F$73,Global_Rates!$B$4:$B$73,"Entity 10",Global_Rates!$A$4:$A$73,"U.S. Market Risk Premium"),""))</f>
        <v/>
      </c>
      <c r="C7" s="48" t="s">
        <v>614</v>
      </c>
      <c r="D7" s="48"/>
      <c r="E7" s="48"/>
      <c r="F7" s="48"/>
      <c r="G7" s="48"/>
    </row>
    <row r="8" spans="1:7" x14ac:dyDescent="0.3">
      <c r="A8" s="48" t="s">
        <v>197</v>
      </c>
      <c r="B8" s="50" t="str">
        <f>IF(AND(Entity_Ownership!$F$13&lt;&gt;"",UPPER(Entity_Ownership!$F$13)&lt;&gt;"UNITED STATES",COUNTIFS(Global_Rates!$B$4:$B$73,"Entity 10",Global_Rates!$A$4:$A$73,"Local Corporate Bond Yield",Global_Rates!$F$4:$F$73,"&lt;&gt;")&gt;0),SUMIFS(Global_Rates!$F$4:$F$73,Global_Rates!$B$4:$B$73,"Entity 10",Global_Rates!$A$4:$A$73,"Local Corporate Bond Yield"),IF(COUNTIFS(Global_Rates!$B$4:$B$73,"Entity 10",Global_Rates!$A$4:$A$73,"U.S. Corporate Bond Yield",Global_Rates!$F$4:$F$73,"&lt;&gt;")&gt;0,SUMIFS(Global_Rates!$F$4:$F$73,Global_Rates!$B$4:$B$73,"Entity 10",Global_Rates!$A$4:$A$73,"U.S. Corporate Bond Yield"),""))</f>
        <v/>
      </c>
      <c r="C8" s="48" t="s">
        <v>616</v>
      </c>
      <c r="D8" s="48"/>
      <c r="E8" s="48"/>
      <c r="F8" s="48"/>
      <c r="G8" s="48"/>
    </row>
    <row r="9" spans="1:7" x14ac:dyDescent="0.3">
      <c r="A9" s="48" t="s">
        <v>199</v>
      </c>
      <c r="B9" s="50" t="str">
        <f>IF(OR(Fin_Inputs_Entity10!F13="",Fin_Inputs_Entity10!F11="",Fin_Inputs_Entity10!F11=0),"",ABS(Fin_Inputs_Entity10!F13/Fin_Inputs_Entity10!F11))</f>
        <v/>
      </c>
      <c r="C9" s="48" t="s">
        <v>617</v>
      </c>
      <c r="D9" s="48"/>
      <c r="E9" s="48"/>
      <c r="F9" s="48"/>
      <c r="G9" s="48"/>
    </row>
    <row r="10" spans="1:7" x14ac:dyDescent="0.3">
      <c r="A10" s="48" t="s">
        <v>201</v>
      </c>
      <c r="B10" s="50" t="str">
        <f>IF((N(Fin_Inputs_Entity10!F26)+N(Fin_Inputs_Entity10!F27)+N(Fin_Inputs_Entity10!F29))=0,"",(N(Fin_Inputs_Entity10!F26)+N(Fin_Inputs_Entity10!F27))/(N(Fin_Inputs_Entity10!F26)+N(Fin_Inputs_Entity10!F27)+N(Fin_Inputs_Entity10!F29)))</f>
        <v/>
      </c>
      <c r="C10" s="48" t="s">
        <v>618</v>
      </c>
      <c r="D10" s="48"/>
      <c r="E10" s="48"/>
      <c r="F10" s="48"/>
      <c r="G10" s="48"/>
    </row>
    <row r="11" spans="1:7" x14ac:dyDescent="0.3">
      <c r="A11" s="48" t="s">
        <v>203</v>
      </c>
      <c r="B11" s="50" t="str">
        <f>IF((N(Fin_Inputs_Entity10!F26)+N(Fin_Inputs_Entity10!F27)+N(Fin_Inputs_Entity10!F29))=0,"",N(Fin_Inputs_Entity10!F29)/(N(Fin_Inputs_Entity10!F26)+N(Fin_Inputs_Entity10!F27)+N(Fin_Inputs_Entity10!F29)))</f>
        <v/>
      </c>
      <c r="C11" s="48" t="s">
        <v>619</v>
      </c>
      <c r="D11" s="48"/>
      <c r="E11" s="48"/>
      <c r="F11" s="48"/>
      <c r="G11" s="48"/>
    </row>
    <row r="12" spans="1:7" x14ac:dyDescent="0.3">
      <c r="A12" s="48" t="s">
        <v>205</v>
      </c>
      <c r="B12" s="50" t="str">
        <f>IF(COUNT(B5:B7)&lt;3,"",B5+B6*B7)</f>
        <v/>
      </c>
      <c r="C12" s="48" t="s">
        <v>452</v>
      </c>
      <c r="D12" s="48"/>
      <c r="E12" s="48"/>
      <c r="F12" s="48"/>
      <c r="G12" s="48"/>
    </row>
    <row r="13" spans="1:7" x14ac:dyDescent="0.3">
      <c r="A13" s="48" t="s">
        <v>207</v>
      </c>
      <c r="B13" s="50" t="str">
        <f>IF(COUNT(B8:B12)&lt;5,"",(B11*B12)+(B10*B8*(1-B9)))</f>
        <v/>
      </c>
      <c r="C13" s="48" t="s">
        <v>620</v>
      </c>
      <c r="D13" s="48"/>
      <c r="E13" s="48"/>
      <c r="F13" s="48"/>
      <c r="G13" s="48"/>
    </row>
    <row r="14" spans="1:7" x14ac:dyDescent="0.3">
      <c r="A14" s="48" t="s">
        <v>621</v>
      </c>
      <c r="B14" s="50" t="str">
        <f>IF(FX_Rate_Entity10="","",FX_Rate_Entity10)</f>
        <v/>
      </c>
      <c r="C14" s="48" t="s">
        <v>622</v>
      </c>
      <c r="D14" s="48"/>
      <c r="E14" s="48"/>
      <c r="F14" s="48"/>
      <c r="G14" s="48"/>
    </row>
    <row r="15" spans="1:7" x14ac:dyDescent="0.3">
      <c r="A15" s="48" t="s">
        <v>209</v>
      </c>
      <c r="B15" s="50"/>
      <c r="C15" s="48"/>
      <c r="D15" s="48"/>
      <c r="E15" s="48"/>
      <c r="F15" s="48"/>
      <c r="G15" s="48"/>
    </row>
    <row r="16" spans="1:7" x14ac:dyDescent="0.3">
      <c r="A16" s="107" t="s">
        <v>155</v>
      </c>
      <c r="B16" s="108"/>
      <c r="C16" s="107"/>
      <c r="D16" s="107"/>
      <c r="E16" s="107"/>
      <c r="F16" s="107"/>
      <c r="G16" s="107"/>
    </row>
    <row r="17" spans="1:8" x14ac:dyDescent="0.3">
      <c r="A17" s="49" t="s">
        <v>211</v>
      </c>
      <c r="B17" s="51" t="s">
        <v>108</v>
      </c>
      <c r="C17" s="51" t="s">
        <v>109</v>
      </c>
      <c r="D17" s="51" t="s">
        <v>110</v>
      </c>
      <c r="E17" s="51" t="s">
        <v>111</v>
      </c>
      <c r="F17" s="51" t="s">
        <v>112</v>
      </c>
      <c r="G17" s="51" t="s">
        <v>210</v>
      </c>
    </row>
    <row r="18" spans="1:8" x14ac:dyDescent="0.3">
      <c r="A18" s="48" t="s">
        <v>212</v>
      </c>
      <c r="B18" s="50" t="str">
        <f>IF(OR(Fin_Inputs_Entity10!B37="",B14=""),"",Fin_Inputs_Entity10!B37*B14*(1+N(Scenario_Analysis!$E$4)-N(Scenario_Analysis!$E$6)-N(Scenario_Analysis!$E$7)))</f>
        <v/>
      </c>
      <c r="C18" s="50" t="str">
        <f>IF(OR(Fin_Inputs_Entity10!C37="",B14=""),"",Fin_Inputs_Entity10!C37*B14*(1+N(Scenario_Analysis!$E$4)-N(Scenario_Analysis!$E$6)-N(Scenario_Analysis!$E$7)))</f>
        <v/>
      </c>
      <c r="D18" s="50" t="str">
        <f>IF(OR(Fin_Inputs_Entity10!D37="",B14=""),"",Fin_Inputs_Entity10!D37*B14*(1+N(Scenario_Analysis!$E$4)-N(Scenario_Analysis!$E$6)-N(Scenario_Analysis!$E$7)))</f>
        <v/>
      </c>
      <c r="E18" s="50" t="str">
        <f>IF(OR(Fin_Inputs_Entity10!E37="",B14=""),"",Fin_Inputs_Entity10!E37*B14*(1+N(Scenario_Analysis!$E$4)-N(Scenario_Analysis!$E$6)-N(Scenario_Analysis!$E$7)))</f>
        <v/>
      </c>
      <c r="F18" s="50" t="str">
        <f>IF(OR(Fin_Inputs_Entity10!F37="",B14=""),"",Fin_Inputs_Entity10!F37*B14*(1+N(Scenario_Analysis!$E$4)-N(Scenario_Analysis!$E$6)-N(Scenario_Analysis!$E$7)))</f>
        <v/>
      </c>
      <c r="G18" s="50"/>
    </row>
    <row r="19" spans="1:8" x14ac:dyDescent="0.3">
      <c r="A19" s="48" t="s">
        <v>213</v>
      </c>
      <c r="B19" s="52">
        <v>0.02</v>
      </c>
      <c r="C19" s="52"/>
      <c r="D19" s="52"/>
      <c r="E19" s="52"/>
      <c r="F19" s="52"/>
      <c r="G19" s="50" t="str">
        <f>IF(OR(F18="",B13="",B19="",B13&lt;=B19),"",F18*(1+B19)/(B13-B19))</f>
        <v/>
      </c>
    </row>
    <row r="20" spans="1:8" x14ac:dyDescent="0.3">
      <c r="A20" s="48" t="s">
        <v>214</v>
      </c>
      <c r="B20" s="50" t="str">
        <f>IF(B13="","",1/(1+B13)^1)</f>
        <v/>
      </c>
      <c r="C20" s="50" t="str">
        <f>IF(B13="","",1/(1+B13)^2)</f>
        <v/>
      </c>
      <c r="D20" s="50" t="str">
        <f>IF(B13="","",1/(1+B13)^3)</f>
        <v/>
      </c>
      <c r="E20" s="50" t="str">
        <f>IF(B13="","",1/(1+B13)^4)</f>
        <v/>
      </c>
      <c r="F20" s="50" t="str">
        <f>IF(B13="","",1/(1+B13)^5)</f>
        <v/>
      </c>
      <c r="G20" s="50" t="str">
        <f>IF(B13="","",1/(1+B13)^5)</f>
        <v/>
      </c>
    </row>
    <row r="21" spans="1:8" x14ac:dyDescent="0.3">
      <c r="A21" s="48" t="s">
        <v>215</v>
      </c>
      <c r="B21" s="50" t="str">
        <f>IF(OR(B18="",B20=""),"",B18*B20)</f>
        <v/>
      </c>
      <c r="C21" s="50" t="str">
        <f>IF(OR(C18="",C20=""),"",C18*C20)</f>
        <v/>
      </c>
      <c r="D21" s="50" t="str">
        <f>IF(OR(D18="",D20=""),"",D18*D20)</f>
        <v/>
      </c>
      <c r="E21" s="50" t="str">
        <f>IF(OR(E18="",E20=""),"",E18*E20)</f>
        <v/>
      </c>
      <c r="F21" s="50" t="str">
        <f>IF(OR(F18="",F20=""),"",F18*F20)</f>
        <v/>
      </c>
      <c r="G21" s="50" t="str">
        <f>IF(OR(G19="",G20=""),"",G19*G20)</f>
        <v/>
      </c>
    </row>
    <row r="22" spans="1:8" x14ac:dyDescent="0.3">
      <c r="A22" s="48" t="s">
        <v>216</v>
      </c>
      <c r="B22" s="50" t="str">
        <f>IF(COUNT(B21:G21)=0,"",SUM(B21:G21))</f>
        <v/>
      </c>
      <c r="C22" s="50" t="str">
        <f>IF(OR(C18="",C21=""),"",C18*C21)</f>
        <v/>
      </c>
      <c r="D22" s="50" t="str">
        <f>IF(OR(D18="",D21=""),"",D18*D21)</f>
        <v/>
      </c>
      <c r="E22" s="50" t="str">
        <f>IF(OR(E18="",E21=""),"",E18*E21)</f>
        <v/>
      </c>
      <c r="F22" s="50" t="str">
        <f>IF(OR(F18="",F21=""),"",F18*F21)</f>
        <v/>
      </c>
      <c r="G22" s="50" t="str">
        <f>IF(OR(G20="",G21=""),"",G20*G21)</f>
        <v/>
      </c>
    </row>
    <row r="23" spans="1:8" x14ac:dyDescent="0.3">
      <c r="A23" s="48" t="s">
        <v>216</v>
      </c>
      <c r="B23" s="50" t="str">
        <f>IF(COUNT(B22:G22)=0,"",SUM(B22:G22))</f>
        <v/>
      </c>
      <c r="C23" s="50"/>
      <c r="D23" s="50"/>
      <c r="E23" s="50"/>
      <c r="F23" s="50"/>
      <c r="G23" s="50"/>
      <c r="H23" t="str">
        <f>IF(OR(F21="",B13="",B22="",B13&lt;=B22),"",F21*(1+B22)/(B13-B22))</f>
        <v/>
      </c>
    </row>
    <row r="24" spans="1:8" x14ac:dyDescent="0.3">
      <c r="A24" s="48"/>
      <c r="B24" s="50"/>
      <c r="C24" s="50"/>
      <c r="D24" s="50"/>
      <c r="E24" s="50"/>
      <c r="F24" s="50"/>
      <c r="G24" s="50"/>
    </row>
    <row r="25" spans="1:8" x14ac:dyDescent="0.3">
      <c r="A25" s="107" t="s">
        <v>218</v>
      </c>
      <c r="B25" s="107"/>
      <c r="C25" s="107"/>
      <c r="D25" s="107"/>
      <c r="E25" s="50"/>
      <c r="F25" s="50"/>
      <c r="G25" s="50"/>
    </row>
    <row r="26" spans="1:8" x14ac:dyDescent="0.3">
      <c r="A26" s="48" t="s">
        <v>218</v>
      </c>
      <c r="B26" s="50" t="s">
        <v>219</v>
      </c>
      <c r="C26" s="48" t="s">
        <v>220</v>
      </c>
      <c r="D26" s="48" t="s">
        <v>221</v>
      </c>
      <c r="E26" s="48"/>
      <c r="F26" s="48"/>
      <c r="G26" s="48"/>
    </row>
    <row r="27" spans="1:8" x14ac:dyDescent="0.3">
      <c r="A27" s="48" t="s">
        <v>222</v>
      </c>
      <c r="B27" s="43">
        <v>6</v>
      </c>
      <c r="C27" s="50" t="str">
        <f>IF(OR(Fin_Inputs_Entity10!F9="",B14=""),"",Fin_Inputs_Entity10!F9*B14)</f>
        <v/>
      </c>
      <c r="D27" s="50" t="str">
        <f>IF(OR(B27="",C27=""),"",B27*C27)</f>
        <v/>
      </c>
      <c r="E27" s="48"/>
      <c r="F27" s="48"/>
      <c r="G27" s="48"/>
    </row>
    <row r="28" spans="1:8" x14ac:dyDescent="0.3">
      <c r="A28" s="49" t="s">
        <v>223</v>
      </c>
      <c r="B28" s="53">
        <v>1.5</v>
      </c>
      <c r="C28" s="51" t="str">
        <f>IF(OR(Fin_Inputs_Entity10!F5="",B14=""),"",Fin_Inputs_Entity10!F5*B14)</f>
        <v/>
      </c>
      <c r="D28" s="51" t="str">
        <f>IF(OR(B28="",C28=""),"",B28*C28)</f>
        <v/>
      </c>
      <c r="E28" s="49"/>
      <c r="F28" s="49"/>
      <c r="G28" s="49"/>
    </row>
    <row r="29" spans="1:8" x14ac:dyDescent="0.3">
      <c r="A29" s="48" t="s">
        <v>224</v>
      </c>
      <c r="B29" s="43">
        <v>10</v>
      </c>
      <c r="C29" s="50" t="str">
        <f>IF(OR(Fin_Inputs_Entity10!F14="",B14=""),"",Fin_Inputs_Entity10!F14*B14)</f>
        <v/>
      </c>
      <c r="D29" s="50" t="str">
        <f>IF(OR(B29="",C29=""),"",B29*C29)</f>
        <v/>
      </c>
      <c r="E29" s="48"/>
      <c r="F29" s="48"/>
      <c r="G29" s="48"/>
    </row>
    <row r="30" spans="1:8" x14ac:dyDescent="0.3">
      <c r="A30" s="48" t="s">
        <v>225</v>
      </c>
      <c r="B30" s="50" t="str">
        <f>IF(COUNT(D27:D29)=0,"",AVERAGE(D27:D29))</f>
        <v/>
      </c>
      <c r="C30" s="50"/>
      <c r="D30" s="50" t="str">
        <f>IF(COUNT(D27:D29)=0,"",AVERAGE(D27:D29))</f>
        <v/>
      </c>
      <c r="E30" s="48"/>
      <c r="F30" s="48"/>
      <c r="G30" s="48"/>
    </row>
    <row r="31" spans="1:8" x14ac:dyDescent="0.3">
      <c r="A31" s="48" t="s">
        <v>384</v>
      </c>
      <c r="B31" s="50" t="str">
        <f>IF(OR(Entity_Ownership!F13="",FX_Conversion!B13=""),"WARNING: Missing Country/Currency Data",IF(OR(B5="",B6="",B7="",B8="",B14=""),"WARNING: Incomplete CAPM / WACC / FX Chain",""))</f>
        <v>WARNING: Missing Country/Currency Data</v>
      </c>
      <c r="C31" s="48"/>
      <c r="D31" s="48"/>
      <c r="E31" s="48"/>
      <c r="F31" s="48"/>
      <c r="G31" s="48"/>
    </row>
    <row r="32" spans="1:8" x14ac:dyDescent="0.3">
      <c r="A32" s="48"/>
      <c r="B32" s="50"/>
      <c r="C32" s="48"/>
      <c r="D32" s="48"/>
      <c r="E32" s="48"/>
      <c r="F32" s="48"/>
      <c r="G32" s="48"/>
    </row>
    <row r="33" spans="1:7" x14ac:dyDescent="0.3">
      <c r="A33" s="107" t="s">
        <v>155</v>
      </c>
      <c r="B33" s="108"/>
      <c r="C33" s="107"/>
      <c r="D33" s="48"/>
      <c r="E33" s="48"/>
      <c r="F33" s="48"/>
      <c r="G33" s="48"/>
    </row>
    <row r="34" spans="1:7" x14ac:dyDescent="0.3">
      <c r="A34" s="48" t="s">
        <v>229</v>
      </c>
      <c r="B34" s="50" t="str">
        <f>B23</f>
        <v/>
      </c>
      <c r="C34" s="48" t="s">
        <v>623</v>
      </c>
      <c r="D34" s="48"/>
      <c r="E34" s="48"/>
      <c r="F34" s="48"/>
      <c r="G34" s="48"/>
    </row>
    <row r="35" spans="1:7" x14ac:dyDescent="0.3">
      <c r="A35" s="48" t="s">
        <v>578</v>
      </c>
      <c r="B35" s="50" t="str">
        <f>B30</f>
        <v/>
      </c>
      <c r="C35" s="48" t="s">
        <v>623</v>
      </c>
      <c r="D35" s="48"/>
      <c r="E35" s="48"/>
      <c r="F35" s="48"/>
      <c r="G35" s="48"/>
    </row>
    <row r="36" spans="1:7" x14ac:dyDescent="0.3">
      <c r="A36" s="48" t="s">
        <v>624</v>
      </c>
      <c r="B36" s="50" t="str">
        <f>IF(COUNT(B34:B35)=0,"",AVERAGE(B34:B35))</f>
        <v/>
      </c>
      <c r="C36" s="48" t="s">
        <v>623</v>
      </c>
      <c r="D36" s="48"/>
      <c r="E36" s="48"/>
      <c r="F36" s="48"/>
      <c r="G36" s="48"/>
    </row>
    <row r="37" spans="1:7" x14ac:dyDescent="0.3">
      <c r="A37" s="48" t="s">
        <v>231</v>
      </c>
      <c r="B37" s="50" t="str">
        <f>IF(B36="","",B36*IF(Entity_Ownership!C13="",1,Entity_Ownership!C13))</f>
        <v/>
      </c>
      <c r="C37" s="48" t="s">
        <v>625</v>
      </c>
      <c r="D37" s="48"/>
      <c r="E37" s="48"/>
      <c r="F37" s="48"/>
      <c r="G37" s="48"/>
    </row>
    <row r="38" spans="1:7" x14ac:dyDescent="0.3">
      <c r="A38" s="49"/>
      <c r="B38" s="51"/>
      <c r="C38" s="49"/>
      <c r="D38" s="49"/>
      <c r="E38" s="49"/>
      <c r="F38" s="49"/>
      <c r="G38" s="49"/>
    </row>
    <row r="39" spans="1:7" x14ac:dyDescent="0.3">
      <c r="A39" s="107" t="s">
        <v>626</v>
      </c>
      <c r="B39" s="107"/>
      <c r="C39" s="107"/>
      <c r="D39" s="107"/>
      <c r="E39" s="107"/>
      <c r="F39" s="107"/>
      <c r="G39" s="107"/>
    </row>
    <row r="40" spans="1:7" x14ac:dyDescent="0.3">
      <c r="A40" s="48" t="s">
        <v>627</v>
      </c>
      <c r="B40" s="54" t="s">
        <v>628</v>
      </c>
      <c r="C40" s="55" t="s">
        <v>629</v>
      </c>
      <c r="D40" s="55" t="s">
        <v>630</v>
      </c>
      <c r="E40" s="48"/>
      <c r="F40" s="48"/>
      <c r="G40" s="48"/>
    </row>
    <row r="41" spans="1:7" x14ac:dyDescent="0.3">
      <c r="A41" s="48" t="s">
        <v>631</v>
      </c>
      <c r="B41" s="50" t="e">
        <f>IF(OR($B$13="",$B$19="",$F$18="",($B$13-0.01)&lt;=($B$19-0.01)),"",SUM($B$21:$F$21)+($F$18*(1+($B$19-0.01))/(($B$13-0.01)-($B$19-0.01)))/(1+($B$13-0.01))^5)</f>
        <v>#VALUE!</v>
      </c>
      <c r="C41" s="50" t="e">
        <f>IF(OR($B$13="",$B$19="",$F$18="",($B$13-0.01)&lt;=($B$19)),"",SUM($B$21:$F$21)+($F$18*(1+$B$19)/(($B$13-0.01)-$B$19))/(1+($B$13-0.01))^5)</f>
        <v>#VALUE!</v>
      </c>
      <c r="D41" s="50" t="e">
        <f>IF(OR($B$13="",$B$19="",$F$18="",($B$13-0.01)&lt;=($B$19+0.01)),"",SUM($B$21:$F$21)+($F$18*(1+($B$19+0.01))/(($B$13-0.01)-($B$19+0.01)))/(1+($B$13-0.01))^5)</f>
        <v>#VALUE!</v>
      </c>
      <c r="E41" s="48"/>
      <c r="F41" s="48"/>
      <c r="G41" s="48"/>
    </row>
    <row r="42" spans="1:7" x14ac:dyDescent="0.3">
      <c r="A42" s="49" t="s">
        <v>632</v>
      </c>
      <c r="B42" s="51" t="str">
        <f>IF(OR($B$13="",$B$19="",$F$18="",($B$13)&lt;=($B$19-0.01)),"",SUM($B$21:$F$21)+($F$18*(1+($B$19-0.01))/($B$13-($B$19-0.01)))/(1+$B$13)^5)</f>
        <v/>
      </c>
      <c r="C42" s="51" t="str">
        <f>B22</f>
        <v/>
      </c>
      <c r="D42" s="51" t="str">
        <f>IF(OR($B$13="",$B$19="",$F$18="",($B$13)&lt;=($B$19+0.01)),"",SUM($B$21:$F$21)+($F$18*(1+($B$19+0.01))/($B$13-($B$19+0.01)))/(1+$B$13)^5)</f>
        <v/>
      </c>
      <c r="E42" s="49"/>
      <c r="F42" s="49"/>
      <c r="G42" s="49"/>
    </row>
    <row r="43" spans="1:7" x14ac:dyDescent="0.3">
      <c r="A43" s="48" t="s">
        <v>633</v>
      </c>
      <c r="B43" s="50" t="e">
        <f>IF(OR($B$13="",$B$19="",$F$18="",($B$13+0.01)&lt;=($B$19-0.01)),"",SUM($B$21:$F$21)+($F$18*(1+($B$19-0.01))/(($B$13+0.01)-($B$19-0.01)))/(1+($B$13+0.01))^5)</f>
        <v>#VALUE!</v>
      </c>
      <c r="C43" s="50" t="e">
        <f>IF(OR($B$13="",$B$19="",$F$18="",($B$13+0.01)&lt;=($B$19)),"",SUM($B$21:$F$21)+($F$18*(1+$B$19)/(($B$13+0.01)-$B$19))/(1+($B$13+0.01))^5)</f>
        <v>#VALUE!</v>
      </c>
      <c r="D43" s="50" t="e">
        <f>IF(OR($B$13="",$B$19="",$F$18="",($B$13+0.01)&lt;=($B$19+0.01)),"",SUM($B$21:$F$21)+($F$18*(1+($B$19+0.01))/(($B$13+0.01)-($B$19+0.01)))/(1+($B$13+0.01))^5)</f>
        <v>#VALUE!</v>
      </c>
      <c r="E43" s="48"/>
      <c r="F43" s="48"/>
      <c r="G43" s="48"/>
    </row>
    <row r="44" spans="1:7" x14ac:dyDescent="0.3">
      <c r="A44" s="48" t="s">
        <v>634</v>
      </c>
      <c r="B44" s="48" t="s">
        <v>653</v>
      </c>
      <c r="C44" s="48"/>
      <c r="D44" s="48"/>
      <c r="E44" s="48"/>
      <c r="F44" s="48"/>
      <c r="G44" s="48"/>
    </row>
    <row r="45" spans="1:7" x14ac:dyDescent="0.3">
      <c r="A45" s="48" t="s">
        <v>384</v>
      </c>
      <c r="B45" s="50" t="str">
        <f>IF(OR(Entity_Ownership!F13="",Entity_Ownership!G13=""),"WARNING: Missing Country/Currency Data",IF(B13="","WARNING: Incomplete CAPM / WACC Chain",""))</f>
        <v>WARNING: Missing Country/Currency Data</v>
      </c>
      <c r="C45" s="48"/>
      <c r="D45" s="48"/>
      <c r="E45" s="48"/>
      <c r="F45" s="48"/>
      <c r="G45" s="48"/>
    </row>
  </sheetData>
  <mergeCells count="6">
    <mergeCell ref="A39:G39"/>
    <mergeCell ref="A1:G1"/>
    <mergeCell ref="A3:C3"/>
    <mergeCell ref="A16:G16"/>
    <mergeCell ref="A25:D25"/>
    <mergeCell ref="A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51</vt:i4>
      </vt:variant>
    </vt:vector>
  </HeadingPairs>
  <TitlesOfParts>
    <vt:vector size="95" baseType="lpstr">
      <vt:lpstr>Client_Info</vt:lpstr>
      <vt:lpstr>FX_Conversion</vt:lpstr>
      <vt:lpstr>Fin_Inputs_Entity1</vt:lpstr>
      <vt:lpstr>Fin_Inputs_Entity2</vt:lpstr>
      <vt:lpstr>Fin_Inputs_Entity3</vt:lpstr>
      <vt:lpstr>Adjustments</vt:lpstr>
      <vt:lpstr>KPIs</vt:lpstr>
      <vt:lpstr>Valuation</vt:lpstr>
      <vt:lpstr>Model_3Statement</vt:lpstr>
      <vt:lpstr>Charts</vt:lpstr>
      <vt:lpstr>Benchmarking</vt:lpstr>
      <vt:lpstr>Due_Diligence</vt:lpstr>
      <vt:lpstr>Deal_Terms</vt:lpstr>
      <vt:lpstr>Consolidation</vt:lpstr>
      <vt:lpstr>Review_Checks</vt:lpstr>
      <vt:lpstr>Export_Report</vt:lpstr>
      <vt:lpstr>Fin_Inputs_Entity4</vt:lpstr>
      <vt:lpstr>Fin_Inputs_Entity5</vt:lpstr>
      <vt:lpstr>Fin_Inputs_Entity6</vt:lpstr>
      <vt:lpstr>Fin_Inputs_Entity7</vt:lpstr>
      <vt:lpstr>Fin_Inputs_Entity8</vt:lpstr>
      <vt:lpstr>Fin_Inputs_Entity9</vt:lpstr>
      <vt:lpstr>Fin_Inputs_Entity10</vt:lpstr>
      <vt:lpstr>Global_Rates</vt:lpstr>
      <vt:lpstr>Audit_Log_Rates</vt:lpstr>
      <vt:lpstr>Entity_Ownership</vt:lpstr>
      <vt:lpstr>Loan_Readiness</vt:lpstr>
      <vt:lpstr>Business_Health_Score</vt:lpstr>
      <vt:lpstr>Scenario_Analysis</vt:lpstr>
      <vt:lpstr>SBA_Prep</vt:lpstr>
      <vt:lpstr>Exit_Readiness</vt:lpstr>
      <vt:lpstr>Working_Capital_Optimization</vt:lpstr>
      <vt:lpstr>Valuation_Summary</vt:lpstr>
      <vt:lpstr>Document_Intake_Checklist</vt:lpstr>
      <vt:lpstr>Valuation_Entity1</vt:lpstr>
      <vt:lpstr>Valuation_Entity2</vt:lpstr>
      <vt:lpstr>Valuation_Entity3</vt:lpstr>
      <vt:lpstr>Valuation_Entity4</vt:lpstr>
      <vt:lpstr>Valuation_Entity5</vt:lpstr>
      <vt:lpstr>Valuation_Entity6</vt:lpstr>
      <vt:lpstr>Valuation_Entity7</vt:lpstr>
      <vt:lpstr>Valuation_Entity8</vt:lpstr>
      <vt:lpstr>Valuation_Entity9</vt:lpstr>
      <vt:lpstr>Valuation_Entity10</vt:lpstr>
      <vt:lpstr>FX_Rate_Entity1</vt:lpstr>
      <vt:lpstr>FX_Rate_Entity10</vt:lpstr>
      <vt:lpstr>FX_Rate_Entity2</vt:lpstr>
      <vt:lpstr>FX_Rate_Entity3</vt:lpstr>
      <vt:lpstr>FX_Rate_Entity4</vt:lpstr>
      <vt:lpstr>FX_Rate_Entity5</vt:lpstr>
      <vt:lpstr>FX_Rate_Entity6</vt:lpstr>
      <vt:lpstr>FX_Rate_Entity7</vt:lpstr>
      <vt:lpstr>FX_Rate_Entity8</vt:lpstr>
      <vt:lpstr>FX_Rate_Entity9</vt:lpstr>
      <vt:lpstr>NR_Beta</vt:lpstr>
      <vt:lpstr>NR_Client_Currency</vt:lpstr>
      <vt:lpstr>NR_Client_Name</vt:lpstr>
      <vt:lpstr>NR_Cost_of_Debt</vt:lpstr>
      <vt:lpstr>NR_Cost_of_Equity</vt:lpstr>
      <vt:lpstr>NR_DCF_Value</vt:lpstr>
      <vt:lpstr>NR_Debt_Weight</vt:lpstr>
      <vt:lpstr>NR_Entity_Count</vt:lpstr>
      <vt:lpstr>NR_Equity_Weight</vt:lpstr>
      <vt:lpstr>NR_Final_Valuation</vt:lpstr>
      <vt:lpstr>NR_FX_Auto</vt:lpstr>
      <vt:lpstr>NR_FX_Date</vt:lpstr>
      <vt:lpstr>NR_FX_Final</vt:lpstr>
      <vt:lpstr>NR_FX_Source</vt:lpstr>
      <vt:lpstr>NR_Industry</vt:lpstr>
      <vt:lpstr>NR_List_ContributionType</vt:lpstr>
      <vt:lpstr>NR_List_Country</vt:lpstr>
      <vt:lpstr>NR_List_Currency</vt:lpstr>
      <vt:lpstr>NR_List_Document_Status</vt:lpstr>
      <vt:lpstr>NR_List_DocumentStatus</vt:lpstr>
      <vt:lpstr>NR_List_Entity</vt:lpstr>
      <vt:lpstr>NR_List_FX_Source</vt:lpstr>
      <vt:lpstr>NR_List_FXSource</vt:lpstr>
      <vt:lpstr>NR_List_JV_Contribution_Type</vt:lpstr>
      <vt:lpstr>NR_List_OverrideReason</vt:lpstr>
      <vt:lpstr>NR_List_Ownership_Type</vt:lpstr>
      <vt:lpstr>NR_List_Rate_Override_Reason</vt:lpstr>
      <vt:lpstr>NR_List_Scenario</vt:lpstr>
      <vt:lpstr>NR_List_Waterfall_Tier</vt:lpstr>
      <vt:lpstr>NR_List_WaterfallTier</vt:lpstr>
      <vt:lpstr>NR_List_Yes_No</vt:lpstr>
      <vt:lpstr>NR_List_YesNo</vt:lpstr>
      <vt:lpstr>NR_Location</vt:lpstr>
      <vt:lpstr>NR_Market_Risk_Premium</vt:lpstr>
      <vt:lpstr>NR_RiskFree</vt:lpstr>
      <vt:lpstr>NR_Service_Line</vt:lpstr>
      <vt:lpstr>NR_Tax_Rate</vt:lpstr>
      <vt:lpstr>NR_USD_Rate</vt:lpstr>
      <vt:lpstr>NR_Valuation_Date</vt:lpstr>
      <vt:lpstr>NR_Valuation_Type</vt:lpstr>
      <vt:lpstr>NR_WACC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Qeihan Anderson</dc:creator>
  <cp:keywords/>
  <dc:description/>
  <cp:lastModifiedBy>Qeihan Anderson</cp:lastModifiedBy>
  <cp:revision/>
  <dcterms:created xsi:type="dcterms:W3CDTF">2026-05-18T10:10:43Z</dcterms:created>
  <dcterms:modified xsi:type="dcterms:W3CDTF">2026-05-21T05:52:40Z</dcterms:modified>
  <cp:category/>
  <cp:contentStatus/>
</cp:coreProperties>
</file>