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eiha\soarx-fastapi\engines\"/>
    </mc:Choice>
  </mc:AlternateContent>
  <xr:revisionPtr revIDLastSave="0" documentId="8_{9C28BE18-6EE1-4A9C-97A1-8CF2BCC279F5}" xr6:coauthVersionLast="47" xr6:coauthVersionMax="47" xr10:uidLastSave="{00000000-0000-0000-0000-000000000000}"/>
  <bookViews>
    <workbookView xWindow="1536" yWindow="1536" windowWidth="17280" windowHeight="9960" activeTab="2" xr2:uid="{00000000-000D-0000-FFFF-FFFF00000000}"/>
  </bookViews>
  <sheets>
    <sheet name="Client_Info" sheetId="2" r:id="rId1"/>
    <sheet name="Personal_Economic_Value" sheetId="3" r:id="rId2"/>
    <sheet name="CashFlow_Volatility" sheetId="4" r:id="rId3"/>
    <sheet name="Savings_Efficiency" sheetId="5" r:id="rId4"/>
    <sheet name="Human_Capital_Model" sheetId="6" r:id="rId5"/>
    <sheet name="Inflation_Exposure" sheetId="7" r:id="rId6"/>
    <sheet name="Stress_Test" sheetId="8" r:id="rId7"/>
    <sheet name="Liquidity_HeatMap" sheetId="9" r:id="rId8"/>
    <sheet name="KPIs" sheetId="10" r:id="rId9"/>
    <sheet name="Export_Report" sheetId="11" r:id="rId10"/>
  </sheets>
  <definedNames>
    <definedName name="NR_Age">"Client_Info!$B$3"</definedName>
    <definedName name="NR_CashFlow_Forecast">"CashFlow_Volatility!$A$10:$E$22"</definedName>
    <definedName name="NR_CFV_Index">"CashFlow_Volatility!$B$7"</definedName>
    <definedName name="NR_Client_Name">"Client_Info!$B$2"</definedName>
    <definedName name="NR_Debt">"Client_Info!$B$8"</definedName>
    <definedName name="NR_Expenses">"Client_Info!$B$6"</definedName>
    <definedName name="NR_Financial_Capital">"Human_Capital_Model!$B$5"</definedName>
    <definedName name="NR_HF_Ratio">"Human_Capital_Model!$B$6"</definedName>
    <definedName name="NR_Human_Capital">"Human_Capital_Model!$B$4"</definedName>
    <definedName name="NR_Income">"Client_Info!$B$5"</definedName>
    <definedName name="NR_Investments">"Client_Info!$B$9"</definedName>
    <definedName name="NR_Liquidity_Ratio">"Liquidity_HeatMap!$B$11"</definedName>
    <definedName name="NR_Liquidity_Survival">"Stress_Test!$B$14"</definedName>
    <definedName name="NR_Liquidity_Zone">"Liquidity_HeatMap!$B$12"</definedName>
    <definedName name="NR_Location">"Client_Info!$B$4"</definedName>
    <definedName name="NR_NetWorth_Impact">"Stress_Test!$B$15"</definedName>
    <definedName name="NR_Personal_Inflation">"Inflation_Exposure!$B$10"</definedName>
    <definedName name="NR_PLEV">"Personal_Economic_Value!$B$10"</definedName>
    <definedName name="NR_PV_Earnings">"Personal_Economic_Value!$B$7"</definedName>
    <definedName name="NR_PV_Retirement">"Personal_Economic_Value!$B$9"</definedName>
    <definedName name="NR_PV_Savings">"Personal_Economic_Value!$B$8"</definedName>
    <definedName name="NR_Real_Income_Erosion">"Inflation_Exposure!$B$13"</definedName>
    <definedName name="NR_Real_Savings_Erosion">"Inflation_Exposure!$B$14"</definedName>
    <definedName name="NR_Retirement">"Client_Info!$B$10"</definedName>
    <definedName name="NR_Retirement_Age">"Client_Info!$B$12"</definedName>
    <definedName name="NR_Risk_Recommendation">"Human_Capital_Model!$B$8"</definedName>
    <definedName name="NR_Risk_Tolerance">"Client_Info!$B$11"</definedName>
    <definedName name="NR_Savings">"Client_Info!$B$7"</definedName>
    <definedName name="NR_SES_Score">"Savings_Efficiency!$B$10"</definedName>
    <definedName name="NR_Stress_Score">"Stress_Test!$B$13"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1" l="1"/>
  <c r="B14" i="11"/>
  <c r="B13" i="11"/>
  <c r="B12" i="11"/>
  <c r="B11" i="11"/>
  <c r="B10" i="11"/>
  <c r="B9" i="11"/>
  <c r="B6" i="11"/>
  <c r="B5" i="11"/>
  <c r="B4" i="11"/>
  <c r="B12" i="10"/>
  <c r="B11" i="10"/>
  <c r="B10" i="10"/>
  <c r="B9" i="10"/>
  <c r="B8" i="10"/>
  <c r="B7" i="10"/>
  <c r="B6" i="10"/>
  <c r="B5" i="10"/>
  <c r="B4" i="10"/>
  <c r="B12" i="9"/>
  <c r="B11" i="9"/>
  <c r="B10" i="9"/>
  <c r="B7" i="9"/>
  <c r="B15" i="8"/>
  <c r="B14" i="8"/>
  <c r="B13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4" i="7"/>
  <c r="B13" i="7"/>
  <c r="B10" i="7"/>
  <c r="D8" i="7"/>
  <c r="D7" i="7"/>
  <c r="D6" i="7"/>
  <c r="D5" i="7"/>
  <c r="D4" i="7"/>
  <c r="B8" i="6"/>
  <c r="B6" i="6"/>
  <c r="B5" i="6"/>
  <c r="B4" i="6"/>
  <c r="B10" i="5"/>
  <c r="B8" i="5"/>
  <c r="B7" i="5"/>
  <c r="B6" i="5"/>
  <c r="B5" i="5"/>
  <c r="B4" i="5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B7" i="4"/>
  <c r="B6" i="4"/>
  <c r="B5" i="4"/>
  <c r="B4" i="4"/>
  <c r="B10" i="3"/>
  <c r="B9" i="3"/>
  <c r="B8" i="3"/>
  <c r="B7" i="3"/>
  <c r="B5" i="3"/>
  <c r="B3" i="3"/>
</calcChain>
</file>

<file path=xl/sharedStrings.xml><?xml version="1.0" encoding="utf-8"?>
<sst xmlns="http://schemas.openxmlformats.org/spreadsheetml/2006/main" count="149" uniqueCount="128">
  <si>
    <t>Field</t>
  </si>
  <si>
    <t>Value</t>
  </si>
  <si>
    <t>Client Name</t>
  </si>
  <si>
    <t>Age</t>
  </si>
  <si>
    <t>Location</t>
  </si>
  <si>
    <t>Annual Income</t>
  </si>
  <si>
    <t>Monthly Expenses</t>
  </si>
  <si>
    <t>Total Savings</t>
  </si>
  <si>
    <t>Total Debt</t>
  </si>
  <si>
    <t>Investment Accounts (Total)</t>
  </si>
  <si>
    <t>Retirement Accounts (Total)</t>
  </si>
  <si>
    <t>Risk Tolerance (Low/Med/High)</t>
  </si>
  <si>
    <t>Retirement Age Goal</t>
  </si>
  <si>
    <t>Personal Lifetime Economic Value (PLEV)</t>
  </si>
  <si>
    <t>Metric</t>
  </si>
  <si>
    <t>Projected Annual Income</t>
  </si>
  <si>
    <t>Income Growth Rate</t>
  </si>
  <si>
    <t>Years Until Retirement</t>
  </si>
  <si>
    <t>Discount Rate</t>
  </si>
  <si>
    <t>Present Value of Lifetime Earnings</t>
  </si>
  <si>
    <t>Present Value of Future Savings</t>
  </si>
  <si>
    <t>Present Value of Retirement Income</t>
  </si>
  <si>
    <t>Total Personal Economic Value</t>
  </si>
  <si>
    <t>Cash Flow Volatility Model</t>
  </si>
  <si>
    <t>Monthly Income</t>
  </si>
  <si>
    <t>Savings Rate</t>
  </si>
  <si>
    <t>Volatility Index</t>
  </si>
  <si>
    <t>12-Month Cash Flow Forecast</t>
  </si>
  <si>
    <t>Month</t>
  </si>
  <si>
    <t>Projected Income</t>
  </si>
  <si>
    <t>Projected Expenses</t>
  </si>
  <si>
    <t>Projected Savings</t>
  </si>
  <si>
    <t>Net Cash Flow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</si>
  <si>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</si>
  <si>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</si>
  <si>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</si>
  <si>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</si>
  <si>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</si>
  <si>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</si>
  <si>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</si>
  <si>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</si>
  <si>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</si>
  <si>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</si>
  <si>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</si>
  <si>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</si>
  <si>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Savings Efficiency Score (SES) Dashboard</t>
  </si>
  <si>
    <t>Component</t>
  </si>
  <si>
    <t>Score (0-100)</t>
  </si>
  <si>
    <t>Weight</t>
  </si>
  <si>
    <t>Savings Rate Score</t>
  </si>
  <si>
    <t>Debt Load Score</t>
  </si>
  <si>
    <t>Liquidity Score</t>
  </si>
  <si>
    <t>Expense Stability Score</t>
  </si>
  <si>
    <t>Investment Allocation Score</t>
  </si>
  <si>
    <t>Final SES Score</t>
  </si>
  <si>
    <t>Human Capital Model</t>
  </si>
  <si>
    <t>Human Capital Value (PV of Future Earnings)</t>
  </si>
  <si>
    <t>Financial Capital Value</t>
  </si>
  <si>
    <t>Human/Financial Ratio</t>
  </si>
  <si>
    <t>Optimal Risk Level Recommendation</t>
  </si>
  <si>
    <t>Personalized Inflation Exposure Model</t>
  </si>
  <si>
    <t>Spending Category</t>
  </si>
  <si>
    <t>Inflation Rate</t>
  </si>
  <si>
    <t>Weighted Rate</t>
  </si>
  <si>
    <t>Housing</t>
  </si>
  <si>
    <t>Food</t>
  </si>
  <si>
    <t>Transport</t>
  </si>
  <si>
    <t>Healthcare</t>
  </si>
  <si>
    <t>Miscellaneous</t>
  </si>
  <si>
    <t>Personal Inflation Rate</t>
  </si>
  <si>
    <t>5-Year Erosion Analysis</t>
  </si>
  <si>
    <t>5-Year Real Income Erosion</t>
  </si>
  <si>
    <t>5-Year Real Savings Erosion</t>
  </si>
  <si>
    <t>Quantitative Stress Test Model</t>
  </si>
  <si>
    <t>Medical Emergency Amount ($)</t>
  </si>
  <si>
    <t>Scenario</t>
  </si>
  <si>
    <t>Liquidity Survival (Months)</t>
  </si>
  <si>
    <t>Net Worth Impact</t>
  </si>
  <si>
    <t>Recovery Time (Months)</t>
  </si>
  <si>
    <t>Stress Score</t>
  </si>
  <si>
    <t>Market Crash (-30%)</t>
  </si>
  <si>
    <t>Job Loss (6 months)</t>
  </si>
  <si>
    <t>Medical Emergency</t>
  </si>
  <si>
    <t>Interest Rate Spike (+3%)</t>
  </si>
  <si>
    <t>Inflation Shock (+5%)</t>
  </si>
  <si>
    <t>Overall Stress Analysis</t>
  </si>
  <si>
    <t>Average Stress Score</t>
  </si>
  <si>
    <t>Minimum Liquidity Survival</t>
  </si>
  <si>
    <t>Total Potential Net Worth Impact</t>
  </si>
  <si>
    <t>Liquidity Heat Map</t>
  </si>
  <si>
    <t>Liquidity Component</t>
  </si>
  <si>
    <t>Amount</t>
  </si>
  <si>
    <t>Cash</t>
  </si>
  <si>
    <t>Short-Term Investments</t>
  </si>
  <si>
    <t>Emergency Fund</t>
  </si>
  <si>
    <t>Liquidity Analysis</t>
  </si>
  <si>
    <t>Total Liquid Assets</t>
  </si>
  <si>
    <t>Liquidity Ratio (Months Covered)</t>
  </si>
  <si>
    <t>Liquidity Zone</t>
  </si>
  <si>
    <t>Key Performance Indicators Dashboard</t>
  </si>
  <si>
    <t>KPI Metric</t>
  </si>
  <si>
    <t>Debt-to-Income Ratio</t>
  </si>
  <si>
    <t>Liquidity Ratio (Months)</t>
  </si>
  <si>
    <t>Cash Flow Volatility Index</t>
  </si>
  <si>
    <t>Savings Efficiency Score</t>
  </si>
  <si>
    <t>Human/Financial Capital Ratio</t>
  </si>
  <si>
    <t>Stress Test Score</t>
  </si>
  <si>
    <t>Personal Economic Value</t>
  </si>
  <si>
    <t>Client Financial Health Report</t>
  </si>
  <si>
    <t>CLIENT INFORMATION</t>
  </si>
  <si>
    <t>KEY FINANCIAL METRICS</t>
  </si>
  <si>
    <t>NARRATIVE SUMMARIES</t>
  </si>
  <si>
    <t>Financial Health Summary</t>
  </si>
  <si>
    <t>[Enter summary of overall financial health status]</t>
  </si>
  <si>
    <t>Risk Exposure Summary</t>
  </si>
  <si>
    <t>[Enter analysis of risk exposure levels]</t>
  </si>
  <si>
    <t>Savings Efficiency Analysis</t>
  </si>
  <si>
    <t>[Enter analysis of savings efficiency and recommendations]</t>
  </si>
  <si>
    <t>Cash Flow Stability Analysis</t>
  </si>
  <si>
    <t>[Enter analysis of cash flow patterns and stability]</t>
  </si>
  <si>
    <t>Inflation Exposure Summary</t>
  </si>
  <si>
    <t>[Enter analysis of inflation impact on finances]</t>
  </si>
  <si>
    <t>Stress Test Interpretation</t>
  </si>
  <si>
    <t>[Enter interpretation of stress test results]</t>
  </si>
  <si>
    <t>Human Capital Insights</t>
  </si>
  <si>
    <t>[Enter insights on human vs financial capital balance]</t>
  </si>
  <si>
    <t>Final Recommendations</t>
  </si>
  <si>
    <t>[Enter actionable recommendations for the client]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</si>
</sst>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3" xfId="0" applyFont="1" applyFill="1" applyBorder="1"/>
    <xf numFmtId="0" fontId="1" fillId="3" borderId="3" xfId="0" applyFont="1" applyFill="1" applyBorder="1"/>
    <xf numFmtId="0" fontId="0" fillId="4" borderId="3" xfId="0" applyFill="1" applyBorder="1"/>
    <xf numFmtId="0" fontId="1" fillId="0" borderId="3" xfId="0" applyFont="1" applyBorder="1"/>
    <xf numFmtId="164" fontId="0" fillId="0" borderId="3" xfId="0" applyNumberFormat="1" applyBorder="1"/>
    <xf numFmtId="10" fontId="0" fillId="4" borderId="3" xfId="0" applyNumberFormat="1" applyFill="1" applyBorder="1"/>
    <xf numFmtId="0" fontId="0" fillId="0" borderId="3" xfId="0" applyBorder="1"/>
    <xf numFmtId="10" fontId="0" fillId="0" borderId="3" xfId="0" applyNumberFormat="1" applyBorder="1"/>
    <xf numFmtId="4" fontId="0" fillId="0" borderId="3" xfId="0" applyNumberFormat="1" applyBorder="1"/>
    <xf numFmtId="2" fontId="0" fillId="0" borderId="3" xfId="0" applyNumberFormat="1" applyBorder="1"/>
    <xf numFmtId="9" fontId="0" fillId="0" borderId="3" xfId="0" applyNumberFormat="1" applyBorder="1"/>
    <xf numFmtId="2" fontId="4" fillId="5" borderId="4" xfId="0" applyNumberFormat="1" applyFont="1" applyFill="1" applyBorder="1"/>
    <xf numFmtId="0" fontId="4" fillId="5" borderId="1" xfId="0" applyFont="1" applyFill="1" applyBorder="1"/>
    <xf numFmtId="0" fontId="0" fillId="5" borderId="2" xfId="0" applyFill="1" applyBorder="1"/>
    <xf numFmtId="0" fontId="1" fillId="5" borderId="3" xfId="0" applyFont="1" applyFill="1" applyBorder="1"/>
    <xf numFmtId="10" fontId="0" fillId="5" borderId="3" xfId="0" applyNumberFormat="1" applyFill="1" applyBorder="1"/>
    <xf numFmtId="0" fontId="0" fillId="3" borderId="3" xfId="0" applyFill="1" applyBorder="1"/>
    <xf numFmtId="164" fontId="0" fillId="4" borderId="0" xfId="0" applyNumberFormat="1" applyFill="1"/>
    <xf numFmtId="165" fontId="0" fillId="0" borderId="3" xfId="0" applyNumberFormat="1" applyBorder="1"/>
    <xf numFmtId="1" fontId="0" fillId="0" borderId="3" xfId="0" applyNumberFormat="1" applyBorder="1"/>
    <xf numFmtId="2" fontId="0" fillId="5" borderId="3" xfId="0" applyNumberFormat="1" applyFill="1" applyBorder="1"/>
    <xf numFmtId="165" fontId="0" fillId="5" borderId="3" xfId="0" applyNumberFormat="1" applyFill="1" applyBorder="1"/>
    <xf numFmtId="164" fontId="0" fillId="5" borderId="3" xfId="0" applyNumberFormat="1" applyFill="1" applyBorder="1"/>
    <xf numFmtId="164" fontId="0" fillId="4" borderId="3" xfId="0" applyNumberFormat="1" applyFill="1" applyBorder="1"/>
    <xf numFmtId="10" fontId="1" fillId="6" borderId="3" xfId="0" applyNumberFormat="1" applyFont="1" applyFill="1" applyBorder="1"/>
    <xf numFmtId="165" fontId="1" fillId="6" borderId="3" xfId="0" applyNumberFormat="1" applyFont="1" applyFill="1" applyBorder="1"/>
    <xf numFmtId="4" fontId="1" fillId="6" borderId="3" xfId="0" applyNumberFormat="1" applyFont="1" applyFill="1" applyBorder="1"/>
    <xf numFmtId="2" fontId="1" fillId="6" borderId="3" xfId="0" applyNumberFormat="1" applyFont="1" applyFill="1" applyBorder="1"/>
    <xf numFmtId="164" fontId="1" fillId="6" borderId="3" xfId="0" applyNumberFormat="1" applyFont="1" applyFill="1" applyBorder="1"/>
    <xf numFmtId="0" fontId="4" fillId="3" borderId="3" xfId="0" applyFont="1" applyFill="1" applyBorder="1"/>
    <xf numFmtId="49" fontId="0" fillId="0" borderId="3" xfId="0" applyNumberFormat="1" applyBorder="1"/>
    <xf numFmtId="0" fontId="7" fillId="0" borderId="3" xfId="0" applyFont="1" applyBorder="1"/>
    <xf numFmtId="0" fontId="3" fillId="2" borderId="0" xfId="0" applyFont="1" applyFill="1"/>
    <xf numFmtId="0" fontId="2" fillId="2" borderId="0" xfId="0" applyFont="1" applyFill="1"/>
    <xf numFmtId="0" fontId="0" fillId="0" borderId="0" xfId="0"/>
    <xf numFmtId="0" fontId="1" fillId="3" borderId="3" xfId="0" applyFont="1" applyFill="1" applyBorder="1"/>
    <xf numFmtId="0" fontId="0" fillId="3" borderId="3" xfId="0" applyFill="1" applyBorder="1"/>
    <xf numFmtId="0" fontId="0" fillId="0" borderId="3" xfId="0" applyBorder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799E-CC52-4605-AF13-BF8AACDDBF9E}">
  <dimension ref="A1:B12"/>
  <sheetViews>
    <sheetView workbookViewId="0"/>
  </sheetViews>
  <sheetFormatPr defaultRowHeight="14.4" x14ac:dyDescent="0.3"/>
  <cols>
    <col min="1" max="1" width="29.109375" bestFit="1" customWidth="1"/>
    <col min="2" max="2" width="6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4"/>
    </row>
    <row r="3" spans="1:2" x14ac:dyDescent="0.3">
      <c r="A3" s="3" t="s">
        <v>3</v>
      </c>
      <c r="B3" s="4"/>
    </row>
    <row r="4" spans="1:2" x14ac:dyDescent="0.3">
      <c r="A4" s="3" t="s">
        <v>4</v>
      </c>
      <c r="B4" s="4"/>
    </row>
    <row r="5" spans="1:2" x14ac:dyDescent="0.3">
      <c r="A5" s="3" t="s">
        <v>5</v>
      </c>
      <c r="B5" s="4"/>
    </row>
    <row r="6" spans="1:2" x14ac:dyDescent="0.3">
      <c r="A6" s="3" t="s">
        <v>6</v>
      </c>
      <c r="B6" s="4"/>
    </row>
    <row r="7" spans="1:2" x14ac:dyDescent="0.3">
      <c r="A7" s="3" t="s">
        <v>7</v>
      </c>
      <c r="B7" s="4"/>
    </row>
    <row r="8" spans="1:2" x14ac:dyDescent="0.3">
      <c r="A8" s="3" t="s">
        <v>8</v>
      </c>
      <c r="B8" s="4"/>
    </row>
    <row r="9" spans="1:2" x14ac:dyDescent="0.3">
      <c r="A9" s="3" t="s">
        <v>9</v>
      </c>
      <c r="B9" s="4"/>
    </row>
    <row r="10" spans="1:2" x14ac:dyDescent="0.3">
      <c r="A10" s="3" t="s">
        <v>10</v>
      </c>
      <c r="B10" s="4"/>
    </row>
    <row r="11" spans="1:2" x14ac:dyDescent="0.3">
      <c r="A11" s="3" t="s">
        <v>11</v>
      </c>
      <c r="B11" s="4"/>
    </row>
    <row r="12" spans="1:2" x14ac:dyDescent="0.3">
      <c r="A12" s="3" t="s">
        <v>12</v>
      </c>
      <c r="B12" s="4"/>
    </row>
  </sheetData>
  <dataValidations count="1">
    <dataValidation type="list" allowBlank="1" showInputMessage="1" showErrorMessage="1" sqref="B11" xr:uid="{0B36C9FA-D106-4F57-8316-4B12B5686249}">
      <formula1>"Low,Med,High"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5D30-64DF-419C-9B6A-41BE6A297BA9}">
  <dimension ref="A1:B10"/>
  <sheetViews>
    <sheetView workbookViewId="0"/>
  </sheetViews>
  <sheetFormatPr defaultRowHeight="14.4" x14ac:dyDescent="0.3"/>
  <cols>
    <col min="1" max="1" width="33.109375" bestFit="1" customWidth="1"/>
    <col min="2" max="2" width="15.5546875" bestFit="1" customWidth="1"/>
  </cols>
  <sheetData>
    <row r="1" spans="1:2" ht="18" x14ac:dyDescent="0.35">
      <c r="A1" s="34" t="s">
        <v>13</v>
      </c>
      <c r="B1" s="34"/>
    </row>
    <row r="2" spans="1:2" x14ac:dyDescent="0.3">
      <c r="A2" s="3" t="s">
        <v>14</v>
      </c>
      <c r="B2" s="3" t="s">
        <v>1</v>
      </c>
    </row>
    <row r="3" spans="1:2" x14ac:dyDescent="0.3">
      <c r="A3" s="5" t="s">
        <v>15</v>
      </c>
      <c r="B3" s="6" t="str">
        <f>NR_Income</f>
        <v>Client_Info!$B$5</v>
      </c>
    </row>
    <row r="4" spans="1:2" x14ac:dyDescent="0.3">
      <c r="A4" s="5" t="s">
        <v>16</v>
      </c>
      <c r="B4" s="7">
        <v>0.03</v>
      </c>
    </row>
    <row r="5" spans="1:2" x14ac:dyDescent="0.3">
      <c r="A5" s="5" t="s">
        <v>17</v>
      </c>
      <c r="B5" s="8" t="e">
        <f>NR_Retirement_Age-NR_Age</f>
        <v>#VALUE!</v>
      </c>
    </row>
    <row r="6" spans="1:2" x14ac:dyDescent="0.3">
      <c r="A6" s="5" t="s">
        <v>18</v>
      </c>
      <c r="B6" s="7">
        <v>0.05</v>
      </c>
    </row>
    <row r="7" spans="1:2" x14ac:dyDescent="0.3">
      <c r="A7" s="5" t="s">
        <v>19</v>
      </c>
      <c r="B7" s="6" t="e">
        <f>IF(B5&lt;&gt;B4,B3*((1-((1+B4)/(1+B5))^B5)/(B5-B4)),B3*B5)</f>
        <v>#VALUE!</v>
      </c>
    </row>
    <row r="8" spans="1:2" x14ac:dyDescent="0.3">
      <c r="A8" s="5" t="s">
        <v>20</v>
      </c>
      <c r="B8" s="6" t="e">
        <f>IF(B5&lt;&gt;B4,(NR_Income-NR_Expenses*12)*((1-((1+B4)/(1+B5))^B5)/(B5-B4)),(NR_Income-NR_Expenses*12)*B5)</f>
        <v>#VALUE!</v>
      </c>
    </row>
    <row r="9" spans="1:2" x14ac:dyDescent="0.3">
      <c r="A9" s="5" t="s">
        <v>21</v>
      </c>
      <c r="B9" s="6" t="e">
        <f>NR_Savings+NR_Investments+NR_Retirement</f>
        <v>#VALUE!</v>
      </c>
    </row>
    <row r="10" spans="1:2" x14ac:dyDescent="0.3">
      <c r="A10" s="5" t="s">
        <v>22</v>
      </c>
      <c r="B10" s="6" t="e">
        <f>B7+B8+B9</f>
        <v>#VALUE!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05C1-F4F3-482B-BCA6-3EA033CD25F0}">
  <dimension ref="A1:E22"/>
  <sheetViews>
    <sheetView tabSelected="1" workbookViewId="0">
      <selection sqref="A1:E1"/>
    </sheetView>
  </sheetViews>
  <sheetFormatPr defaultRowHeight="14.4" x14ac:dyDescent="0.3"/>
  <cols>
    <col min="1" max="1" width="17.109375" bestFit="1" customWidth="1"/>
    <col min="2" max="2" width="16.44140625" bestFit="1" customWidth="1"/>
    <col min="3" max="3" width="18.109375" bestFit="1" customWidth="1"/>
    <col min="4" max="4" width="16.5546875" bestFit="1" customWidth="1"/>
    <col min="5" max="5" width="13.5546875" bestFit="1" customWidth="1"/>
  </cols>
  <sheetData>
    <row r="1" spans="1:5" ht="18" x14ac:dyDescent="0.35">
      <c r="A1" s="34" t="s">
        <v>23</v>
      </c>
      <c r="B1" s="34"/>
      <c r="C1" s="34"/>
      <c r="D1" s="34"/>
      <c r="E1" s="34"/>
    </row>
    <row r="3" spans="1:5" x14ac:dyDescent="0.3">
      <c r="A3" s="3" t="s">
        <v>14</v>
      </c>
      <c r="B3" s="3" t="s">
        <v>1</v>
      </c>
    </row>
    <row r="4" spans="1:5" x14ac:dyDescent="0.3">
      <c r="A4" s="5" t="s">
        <v>24</v>
      </c>
      <c r="B4" s="6" t="e">
        <f>NR_Income/12</f>
        <v>#VALUE!</v>
      </c>
    </row>
    <row r="5" spans="1:5" x14ac:dyDescent="0.3">
      <c r="A5" s="5" t="s">
        <v>6</v>
      </c>
      <c r="B5" s="6" t="str">
        <f>NR_Expenses</f>
        <v>Client_Info!$B$6</v>
      </c>
    </row>
    <row r="6" spans="1:5" x14ac:dyDescent="0.3">
      <c r="A6" s="5" t="s">
        <v>25</v>
      </c>
      <c r="B6" s="9" t="e">
        <f>(B4-B5)/B4</f>
        <v>#VALUE!</v>
      </c>
    </row>
    <row r="7" spans="1:5" x14ac:dyDescent="0.3">
      <c r="A7" s="5" t="s">
        <v>26</v>
      </c>
      <c r="B7" s="10" t="e">
        <f>STDEV(B4,B5,B6)</f>
        <v>#VALUE!</v>
      </c>
    </row>
    <row r="9" spans="1:5" x14ac:dyDescent="0.3">
      <c r="A9" s="35" t="s">
        <v>27</v>
      </c>
      <c r="B9" s="36"/>
      <c r="C9" s="36"/>
      <c r="D9" s="36"/>
      <c r="E9" s="36"/>
    </row>
    <row r="10" spans="1:5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32</v>
      </c>
    </row>
    <row r="11" spans="1:5" x14ac:dyDescent="0.3">
      <c r="A11" s="8" t="s">
        <v>33</v>
      </c>
      <c r="B11" s="6" t="e">
        <f t="shared" ref="B11:B22" si="0">$B$4</f>
        <v>#VALUE!</v>
      </c>
      <c r="C11" s="6" t="str">
        <f t="shared" ref="C11:C22" si="1">$B$5</f>
        <v>Client_Info!$B$6</v>
      </c>
      <c r="D11" s="6" t="e">
        <f t="shared" ref="D11:D22" si="2">B11-C11</f>
        <v>#VALUE!</v>
      </c>
      <c r="E11" s="6" t="e">
        <f t="shared" ref="E11:E22" si="3">D11</f>
        <v>#VALUE!</v>
      </c>
    </row>
    <row r="12" spans="1:5" x14ac:dyDescent="0.3">
      <c r="A12" s="8" t="s">
        <v>34</v>
      </c>
      <c r="B12" s="6" t="e">
        <f t="shared" si="0"/>
        <v>#VALUE!</v>
      </c>
      <c r="C12" s="6" t="str">
        <f t="shared" si="1"/>
        <v>Client_Info!$B$6</v>
      </c>
      <c r="D12" s="6" t="e">
        <f t="shared" si="2"/>
        <v>#VALUE!</v>
      </c>
      <c r="E12" s="6" t="e">
        <f t="shared" si="3"/>
        <v>#VALUE!</v>
      </c>
    </row>
    <row r="13" spans="1:5" x14ac:dyDescent="0.3">
      <c r="A13" s="8" t="s">
        <v>35</v>
      </c>
      <c r="B13" s="6" t="e">
        <f t="shared" si="0"/>
        <v>#VALUE!</v>
      </c>
      <c r="C13" s="6" t="str">
        <f t="shared" si="1"/>
        <v>Client_Info!$B$6</v>
      </c>
      <c r="D13" s="6" t="e">
        <f t="shared" si="2"/>
        <v>#VALUE!</v>
      </c>
      <c r="E13" s="6" t="e">
        <f t="shared" si="3"/>
        <v>#VALUE!</v>
      </c>
    </row>
    <row r="14" spans="1:5" x14ac:dyDescent="0.3">
      <c r="A14" s="8" t="s">
        <v>36</v>
      </c>
      <c r="B14" s="6" t="e">
        <f t="shared" si="0"/>
        <v>#VALUE!</v>
      </c>
      <c r="C14" s="6" t="str">
        <f t="shared" si="1"/>
        <v>Client_Info!$B$6</v>
      </c>
      <c r="D14" s="6" t="e">
        <f t="shared" si="2"/>
        <v>#VALUE!</v>
      </c>
      <c r="E14" s="6" t="e">
        <f t="shared" si="3"/>
        <v>#VALUE!</v>
      </c>
    </row>
    <row r="15" spans="1:5" x14ac:dyDescent="0.3">
      <c r="A15" s="8" t="s">
        <v>37</v>
      </c>
      <c r="B15" s="6" t="e">
        <f t="shared" si="0"/>
        <v>#VALUE!</v>
      </c>
      <c r="C15" s="6" t="str">
        <f t="shared" si="1"/>
        <v>Client_Info!$B$6</v>
      </c>
      <c r="D15" s="6" t="e">
        <f t="shared" si="2"/>
        <v>#VALUE!</v>
      </c>
      <c r="E15" s="6" t="e">
        <f t="shared" si="3"/>
        <v>#VALUE!</v>
      </c>
    </row>
    <row r="16" spans="1:5" x14ac:dyDescent="0.3">
      <c r="A16" s="8" t="s">
        <v>38</v>
      </c>
      <c r="B16" s="6" t="e">
        <f t="shared" si="0"/>
        <v>#VALUE!</v>
      </c>
      <c r="C16" s="6" t="str">
        <f t="shared" si="1"/>
        <v>Client_Info!$B$6</v>
      </c>
      <c r="D16" s="6" t="e">
        <f t="shared" si="2"/>
        <v>#VALUE!</v>
      </c>
      <c r="E16" s="6" t="e">
        <f t="shared" si="3"/>
        <v>#VALUE!</v>
      </c>
    </row>
    <row r="17" spans="1:5" x14ac:dyDescent="0.3">
      <c r="A17" s="8" t="s">
        <v>39</v>
      </c>
      <c r="B17" s="6" t="e">
        <f t="shared" si="0"/>
        <v>#VALUE!</v>
      </c>
      <c r="C17" s="6" t="str">
        <f t="shared" si="1"/>
        <v>Client_Info!$B$6</v>
      </c>
      <c r="D17" s="6" t="e">
        <f t="shared" si="2"/>
        <v>#VALUE!</v>
      </c>
      <c r="E17" s="6" t="e">
        <f t="shared" si="3"/>
        <v>#VALUE!</v>
      </c>
    </row>
    <row r="18" spans="1:5" x14ac:dyDescent="0.3">
      <c r="A18" s="8" t="s">
        <v>40</v>
      </c>
      <c r="B18" s="6" t="e">
        <f t="shared" si="0"/>
        <v>#VALUE!</v>
      </c>
      <c r="C18" s="6" t="str">
        <f t="shared" si="1"/>
        <v>Client_Info!$B$6</v>
      </c>
      <c r="D18" s="6" t="e">
        <f t="shared" si="2"/>
        <v>#VALUE!</v>
      </c>
      <c r="E18" s="6" t="e">
        <f t="shared" si="3"/>
        <v>#VALUE!</v>
      </c>
    </row>
    <row r="19" spans="1:5" x14ac:dyDescent="0.3">
      <c r="A19" s="8" t="s">
        <v>41</v>
      </c>
      <c r="B19" s="6" t="e">
        <f t="shared" si="0"/>
        <v>#VALUE!</v>
      </c>
      <c r="C19" s="6" t="str">
        <f t="shared" si="1"/>
        <v>Client_Info!$B$6</v>
      </c>
      <c r="D19" s="6" t="e">
        <f t="shared" si="2"/>
        <v>#VALUE!</v>
      </c>
      <c r="E19" s="6" t="e">
        <f t="shared" si="3"/>
        <v>#VALUE!</v>
      </c>
    </row>
    <row r="20" spans="1:5" x14ac:dyDescent="0.3">
      <c r="A20" s="8" t="s">
        <v>42</v>
      </c>
      <c r="B20" s="6" t="e">
        <f t="shared" si="0"/>
        <v>#VALUE!</v>
      </c>
      <c r="C20" s="6" t="str">
        <f t="shared" si="1"/>
        <v>Client_Info!$B$6</v>
      </c>
      <c r="D20" s="6" t="e">
        <f t="shared" si="2"/>
        <v>#VALUE!</v>
      </c>
      <c r="E20" s="6" t="e">
        <f t="shared" si="3"/>
        <v>#VALUE!</v>
      </c>
    </row>
    <row r="21" spans="1:5" x14ac:dyDescent="0.3">
      <c r="A21" s="8" t="s">
        <v>43</v>
      </c>
      <c r="B21" s="6" t="e">
        <f t="shared" si="0"/>
        <v>#VALUE!</v>
      </c>
      <c r="C21" s="6" t="str">
        <f t="shared" si="1"/>
        <v>Client_Info!$B$6</v>
      </c>
      <c r="D21" s="6" t="e">
        <f t="shared" si="2"/>
        <v>#VALUE!</v>
      </c>
      <c r="E21" s="6" t="e">
        <f t="shared" si="3"/>
        <v>#VALUE!</v>
      </c>
    </row>
    <row r="22" spans="1:5" x14ac:dyDescent="0.3">
      <c r="A22" s="8" t="s">
        <v>44</v>
      </c>
      <c r="B22" s="6" t="e">
        <f t="shared" si="0"/>
        <v>#VALUE!</v>
      </c>
      <c r="C22" s="6" t="str">
        <f t="shared" si="1"/>
        <v>Client_Info!$B$6</v>
      </c>
      <c r="D22" s="6" t="e">
        <f t="shared" si="2"/>
        <v>#VALUE!</v>
      </c>
      <c r="E22" s="6" t="e">
        <f t="shared" si="3"/>
        <v>#VALUE!</v>
      </c>
    </row>
  </sheetData>
  <mergeCells count="2">
    <mergeCell ref="A1:E1"/>
    <mergeCell ref="A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564C-06C0-4EFD-AF48-88B007422031}">
  <dimension ref="A1:C10"/>
  <sheetViews>
    <sheetView workbookViewId="0"/>
  </sheetViews>
  <sheetFormatPr defaultRowHeight="14.4" x14ac:dyDescent="0.3"/>
  <cols>
    <col min="1" max="1" width="25.88671875" bestFit="1" customWidth="1"/>
    <col min="2" max="2" width="12.5546875" bestFit="1" customWidth="1"/>
    <col min="3" max="3" width="7.33203125" bestFit="1" customWidth="1"/>
  </cols>
  <sheetData>
    <row r="1" spans="1:3" ht="18" x14ac:dyDescent="0.35">
      <c r="A1" s="34" t="s">
        <v>45</v>
      </c>
      <c r="B1" s="34"/>
      <c r="C1" s="34"/>
    </row>
    <row r="3" spans="1:3" x14ac:dyDescent="0.3">
      <c r="A3" s="3" t="s">
        <v>46</v>
      </c>
      <c r="B3" s="3" t="s">
        <v>47</v>
      </c>
      <c r="C3" s="3" t="s">
        <v>48</v>
      </c>
    </row>
    <row r="4" spans="1:3" x14ac:dyDescent="0.3">
      <c r="A4" s="5" t="s">
        <v>49</v>
      </c>
      <c r="B4" s="11" t="e">
        <f>MIN(100,MAX(0,((NR_Income-NR_Expenses*12)/NR_Income)*100))</f>
        <v>#VALUE!</v>
      </c>
      <c r="C4" s="12">
        <v>0.2</v>
      </c>
    </row>
    <row r="5" spans="1:3" x14ac:dyDescent="0.3">
      <c r="A5" s="5" t="s">
        <v>50</v>
      </c>
      <c r="B5" s="11" t="e">
        <f>MIN(100,MAX(0,100-(NR_Debt/NR_Income)*100))</f>
        <v>#VALUE!</v>
      </c>
      <c r="C5" s="12">
        <v>0.2</v>
      </c>
    </row>
    <row r="6" spans="1:3" x14ac:dyDescent="0.3">
      <c r="A6" s="5" t="s">
        <v>51</v>
      </c>
      <c r="B6" s="11" t="e">
        <f>MIN(100,MAX(0,(NR_Savings/(NR_Expenses*6))*100))</f>
        <v>#VALUE!</v>
      </c>
      <c r="C6" s="12">
        <v>0.2</v>
      </c>
    </row>
    <row r="7" spans="1:3" x14ac:dyDescent="0.3">
      <c r="A7" s="5" t="s">
        <v>52</v>
      </c>
      <c r="B7" s="11" t="e">
        <f>MIN(100,MAX(0,100-ABS(NR_CFV_Index/100)))</f>
        <v>#VALUE!</v>
      </c>
      <c r="C7" s="12">
        <v>0.2</v>
      </c>
    </row>
    <row r="8" spans="1:3" x14ac:dyDescent="0.3">
      <c r="A8" s="5" t="s">
        <v>53</v>
      </c>
      <c r="B8" s="11" t="e">
        <f>MIN(100,MAX(0,IF(NR_Savings&gt;0,(NR_Investments/NR_Savings)*100,0)))</f>
        <v>#VALUE!</v>
      </c>
      <c r="C8" s="12">
        <v>0.2</v>
      </c>
    </row>
    <row r="10" spans="1:3" ht="15.6" x14ac:dyDescent="0.3">
      <c r="A10" s="14" t="s">
        <v>54</v>
      </c>
      <c r="B10" s="13" t="e">
        <f>AVERAGE(B4:B8)</f>
        <v>#VALUE!</v>
      </c>
      <c r="C10" s="15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97FC-E2E9-4B79-8F4A-7AB18E6AD6E7}">
  <dimension ref="A1:B8"/>
  <sheetViews>
    <sheetView workbookViewId="0"/>
  </sheetViews>
  <sheetFormatPr defaultRowHeight="14.4" x14ac:dyDescent="0.3"/>
  <cols>
    <col min="1" max="1" width="40.44140625" bestFit="1" customWidth="1"/>
    <col min="2" max="2" width="29" bestFit="1" customWidth="1"/>
  </cols>
  <sheetData>
    <row r="1" spans="1:2" ht="18" x14ac:dyDescent="0.35">
      <c r="A1" s="34" t="s">
        <v>55</v>
      </c>
      <c r="B1" s="34"/>
    </row>
    <row r="3" spans="1:2" x14ac:dyDescent="0.3">
      <c r="A3" s="3" t="s">
        <v>14</v>
      </c>
      <c r="B3" s="3" t="s">
        <v>1</v>
      </c>
    </row>
    <row r="4" spans="1:2" x14ac:dyDescent="0.3">
      <c r="A4" s="5" t="s">
        <v>56</v>
      </c>
      <c r="B4" s="6" t="str">
        <f>NR_PV_Earnings</f>
        <v>Personal_Economic_Value!$B$7</v>
      </c>
    </row>
    <row r="5" spans="1:2" x14ac:dyDescent="0.3">
      <c r="A5" s="5" t="s">
        <v>57</v>
      </c>
      <c r="B5" s="6" t="e">
        <f>NR_Savings+NR_Investments+NR_Retirement</f>
        <v>#VALUE!</v>
      </c>
    </row>
    <row r="6" spans="1:2" x14ac:dyDescent="0.3">
      <c r="A6" s="5" t="s">
        <v>58</v>
      </c>
      <c r="B6" s="11" t="e">
        <f>IF(B5&gt;0,B4/B5,0)</f>
        <v>#VALUE!</v>
      </c>
    </row>
    <row r="7" spans="1:2" x14ac:dyDescent="0.3">
      <c r="A7" s="5"/>
      <c r="B7" s="8"/>
    </row>
    <row r="8" spans="1:2" x14ac:dyDescent="0.3">
      <c r="A8" s="16" t="s">
        <v>59</v>
      </c>
      <c r="B8" s="16" t="e">
        <f>IF(B6&gt;3,"High Risk - Focus on Stable Investments",IF(B6&gt;1,"Moderate Risk - Balanced Portfolio","Low Risk - Can Take More Investment Risk"))</f>
        <v>#VALUE!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0B07-C923-485C-A166-543CE3B59FCA}">
  <dimension ref="A1:D14"/>
  <sheetViews>
    <sheetView workbookViewId="0"/>
  </sheetViews>
  <sheetFormatPr defaultRowHeight="14.4" x14ac:dyDescent="0.3"/>
  <cols>
    <col min="1" max="1" width="25.109375" bestFit="1" customWidth="1"/>
    <col min="2" max="2" width="8.44140625" bestFit="1" customWidth="1"/>
    <col min="3" max="3" width="13" bestFit="1" customWidth="1"/>
    <col min="4" max="4" width="14.109375" bestFit="1" customWidth="1"/>
  </cols>
  <sheetData>
    <row r="1" spans="1:4" ht="18" x14ac:dyDescent="0.35">
      <c r="A1" s="34" t="s">
        <v>60</v>
      </c>
      <c r="B1" s="34"/>
      <c r="C1" s="34"/>
      <c r="D1" s="34"/>
    </row>
    <row r="3" spans="1:4" x14ac:dyDescent="0.3">
      <c r="A3" s="3" t="s">
        <v>61</v>
      </c>
      <c r="B3" s="3" t="s">
        <v>48</v>
      </c>
      <c r="C3" s="3" t="s">
        <v>62</v>
      </c>
      <c r="D3" s="3" t="s">
        <v>63</v>
      </c>
    </row>
    <row r="4" spans="1:4" x14ac:dyDescent="0.3">
      <c r="A4" s="5" t="s">
        <v>64</v>
      </c>
      <c r="B4" s="7">
        <v>0.35</v>
      </c>
      <c r="C4" s="7">
        <v>0.04</v>
      </c>
      <c r="D4" s="9">
        <f>B4*C4</f>
        <v>1.3999999999999999E-2</v>
      </c>
    </row>
    <row r="5" spans="1:4" x14ac:dyDescent="0.3">
      <c r="A5" s="5" t="s">
        <v>65</v>
      </c>
      <c r="B5" s="7">
        <v>0.15</v>
      </c>
      <c r="C5" s="7">
        <v>0.05</v>
      </c>
      <c r="D5" s="9">
        <f>B5*C5</f>
        <v>7.4999999999999997E-3</v>
      </c>
    </row>
    <row r="6" spans="1:4" x14ac:dyDescent="0.3">
      <c r="A6" s="5" t="s">
        <v>66</v>
      </c>
      <c r="B6" s="7">
        <v>0.15</v>
      </c>
      <c r="C6" s="7">
        <v>0.03</v>
      </c>
      <c r="D6" s="9">
        <f>B6*C6</f>
        <v>4.4999999999999997E-3</v>
      </c>
    </row>
    <row r="7" spans="1:4" x14ac:dyDescent="0.3">
      <c r="A7" s="5" t="s">
        <v>67</v>
      </c>
      <c r="B7" s="7">
        <v>0.2</v>
      </c>
      <c r="C7" s="7">
        <v>0.06</v>
      </c>
      <c r="D7" s="9">
        <f>B7*C7</f>
        <v>1.2E-2</v>
      </c>
    </row>
    <row r="8" spans="1:4" x14ac:dyDescent="0.3">
      <c r="A8" s="5" t="s">
        <v>68</v>
      </c>
      <c r="B8" s="7">
        <v>0.15</v>
      </c>
      <c r="C8" s="7">
        <v>0.03</v>
      </c>
      <c r="D8" s="9">
        <f>B8*C8</f>
        <v>4.4999999999999997E-3</v>
      </c>
    </row>
    <row r="10" spans="1:4" x14ac:dyDescent="0.3">
      <c r="A10" s="16" t="s">
        <v>69</v>
      </c>
      <c r="B10" s="17">
        <f>SUMPRODUCT(B4:B8,C4:C8)</f>
        <v>4.2499999999999996E-2</v>
      </c>
    </row>
    <row r="11" spans="1:4" x14ac:dyDescent="0.3">
      <c r="A11" s="8"/>
      <c r="B11" s="8"/>
    </row>
    <row r="12" spans="1:4" x14ac:dyDescent="0.3">
      <c r="A12" s="3" t="s">
        <v>70</v>
      </c>
      <c r="B12" s="18"/>
    </row>
    <row r="13" spans="1:4" x14ac:dyDescent="0.3">
      <c r="A13" s="5" t="s">
        <v>71</v>
      </c>
      <c r="B13" s="6" t="e">
        <f>NR_Income*(1-(1/(1+B10)^5))</f>
        <v>#VALUE!</v>
      </c>
    </row>
    <row r="14" spans="1:4" x14ac:dyDescent="0.3">
      <c r="A14" s="5" t="s">
        <v>72</v>
      </c>
      <c r="B14" s="6" t="e">
        <f>NR_Savings*(1-(1/(1+B10)^5))</f>
        <v>#VALUE!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B371-0CAF-4A52-8E70-406C05FA0349}">
  <dimension ref="A1:E15"/>
  <sheetViews>
    <sheetView workbookViewId="0"/>
  </sheetViews>
  <sheetFormatPr defaultRowHeight="14.4" x14ac:dyDescent="0.3"/>
  <cols>
    <col min="1" max="1" width="30.5546875" bestFit="1" customWidth="1"/>
    <col min="2" max="2" width="24.88671875" bestFit="1" customWidth="1"/>
    <col min="3" max="3" width="17" bestFit="1" customWidth="1"/>
    <col min="4" max="4" width="22.6640625" bestFit="1" customWidth="1"/>
    <col min="5" max="5" width="11.5546875" bestFit="1" customWidth="1"/>
  </cols>
  <sheetData>
    <row r="1" spans="1:5" ht="18" x14ac:dyDescent="0.35">
      <c r="A1" s="34" t="s">
        <v>73</v>
      </c>
      <c r="B1" s="34"/>
      <c r="C1" s="34"/>
      <c r="D1" s="34"/>
      <c r="E1" s="34"/>
    </row>
    <row r="3" spans="1:5" x14ac:dyDescent="0.3">
      <c r="A3" s="1" t="s">
        <v>74</v>
      </c>
      <c r="B3" s="19">
        <v>25000</v>
      </c>
    </row>
    <row r="5" spans="1:5" x14ac:dyDescent="0.3">
      <c r="A5" s="3" t="s">
        <v>75</v>
      </c>
      <c r="B5" s="3" t="s">
        <v>76</v>
      </c>
      <c r="C5" s="3" t="s">
        <v>77</v>
      </c>
      <c r="D5" s="3" t="s">
        <v>78</v>
      </c>
      <c r="E5" s="3" t="s">
        <v>79</v>
      </c>
    </row>
    <row r="6" spans="1:5" x14ac:dyDescent="0.3">
      <c r="A6" s="5" t="s">
        <v>80</v>
      </c>
      <c r="B6" s="20" t="e">
        <f>IF(NR_Expenses&gt;0,NR_Savings/NR_Expenses,0)</f>
        <v>#VALUE!</v>
      </c>
      <c r="C6" s="6" t="e">
        <f>-0.3*(NR_Investments+NR_Retirement)</f>
        <v>#VALUE!</v>
      </c>
      <c r="D6" s="21">
        <f>24</f>
        <v>24</v>
      </c>
      <c r="E6" s="11" t="e">
        <f>MIN(100,MAX(0,100-ABS(C6)/(NR_Savings+0.01)*10))</f>
        <v>#VALUE!</v>
      </c>
    </row>
    <row r="7" spans="1:5" x14ac:dyDescent="0.3">
      <c r="A7" s="5" t="s">
        <v>81</v>
      </c>
      <c r="B7" s="20" t="e">
        <f>IF(NR_Expenses&gt;0,NR_Savings/NR_Expenses,0)</f>
        <v>#VALUE!</v>
      </c>
      <c r="C7" s="6" t="e">
        <f>-6*(NR_Income/12)</f>
        <v>#VALUE!</v>
      </c>
      <c r="D7" s="21">
        <f>12</f>
        <v>12</v>
      </c>
      <c r="E7" s="11" t="e">
        <f>MIN(100,MAX(0,100-(6/B7)*20))</f>
        <v>#VALUE!</v>
      </c>
    </row>
    <row r="8" spans="1:5" x14ac:dyDescent="0.3">
      <c r="A8" s="5" t="s">
        <v>82</v>
      </c>
      <c r="B8" s="20" t="e">
        <f>IF(NR_Expenses&gt;0,(NR_Savings-$B$3)/NR_Expenses,0)</f>
        <v>#VALUE!</v>
      </c>
      <c r="C8" s="6">
        <f>-$B$3</f>
        <v>-25000</v>
      </c>
      <c r="D8" s="21" t="e">
        <f>IF(NR_Expenses&gt;0,$B$3/((NR_Income/12)-NR_Expenses),12)</f>
        <v>#VALUE!</v>
      </c>
      <c r="E8" s="11" t="e">
        <f>MIN(100,MAX(0,100-$B$3/NR_Savings*50))</f>
        <v>#VALUE!</v>
      </c>
    </row>
    <row r="9" spans="1:5" x14ac:dyDescent="0.3">
      <c r="A9" s="5" t="s">
        <v>83</v>
      </c>
      <c r="B9" s="20" t="e">
        <f>IF(NR_Expenses&gt;0,NR_Savings/NR_Expenses,0)</f>
        <v>#VALUE!</v>
      </c>
      <c r="C9" s="6" t="e">
        <f>-NR_Debt*0.03</f>
        <v>#VALUE!</v>
      </c>
      <c r="D9" s="21">
        <f>12</f>
        <v>12</v>
      </c>
      <c r="E9" s="11" t="e">
        <f>MIN(100,MAX(0,100-(NR_Debt*0.03)/(NR_Income+0.01)*100))</f>
        <v>#VALUE!</v>
      </c>
    </row>
    <row r="10" spans="1:5" x14ac:dyDescent="0.3">
      <c r="A10" s="5" t="s">
        <v>84</v>
      </c>
      <c r="B10" s="20" t="e">
        <f>IF(NR_Expenses&gt;0,NR_Savings/(NR_Expenses*1.05),0)</f>
        <v>#VALUE!</v>
      </c>
      <c r="C10" s="6" t="e">
        <f>-NR_Savings*0.05</f>
        <v>#VALUE!</v>
      </c>
      <c r="D10" s="21">
        <f>24</f>
        <v>24</v>
      </c>
      <c r="E10" s="11">
        <f>MIN(100,MAX(0,100-0.05*100))</f>
        <v>95</v>
      </c>
    </row>
    <row r="12" spans="1:5" x14ac:dyDescent="0.3">
      <c r="A12" s="37" t="s">
        <v>85</v>
      </c>
      <c r="B12" s="38"/>
    </row>
    <row r="13" spans="1:5" x14ac:dyDescent="0.3">
      <c r="A13" s="16" t="s">
        <v>86</v>
      </c>
      <c r="B13" s="22" t="e">
        <f>AVERAGE(E6:E10)</f>
        <v>#VALUE!</v>
      </c>
    </row>
    <row r="14" spans="1:5" x14ac:dyDescent="0.3">
      <c r="A14" s="16" t="s">
        <v>87</v>
      </c>
      <c r="B14" s="23" t="e">
        <f>MIN(B6:B10)</f>
        <v>#VALUE!</v>
      </c>
    </row>
    <row r="15" spans="1:5" x14ac:dyDescent="0.3">
      <c r="A15" s="16" t="s">
        <v>88</v>
      </c>
      <c r="B15" s="24" t="e">
        <f>SUM(C6:C10)</f>
        <v>#VALUE!</v>
      </c>
    </row>
  </sheetData>
  <mergeCells count="2">
    <mergeCell ref="A1:E1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9B8B-852B-4130-BF7A-40D12F1DBA94}">
  <dimension ref="A1:C12"/>
  <sheetViews>
    <sheetView workbookViewId="0"/>
  </sheetViews>
  <sheetFormatPr defaultRowHeight="14.4" x14ac:dyDescent="0.3"/>
  <cols>
    <col min="1" max="1" width="30.33203125" bestFit="1" customWidth="1"/>
    <col min="2" max="2" width="15.5546875" bestFit="1" customWidth="1"/>
  </cols>
  <sheetData>
    <row r="1" spans="1:3" ht="18" x14ac:dyDescent="0.35">
      <c r="A1" s="34" t="s">
        <v>89</v>
      </c>
      <c r="B1" s="34"/>
      <c r="C1" s="34"/>
    </row>
    <row r="3" spans="1:3" x14ac:dyDescent="0.3">
      <c r="A3" s="3" t="s">
        <v>90</v>
      </c>
      <c r="B3" s="3" t="s">
        <v>91</v>
      </c>
    </row>
    <row r="4" spans="1:3" x14ac:dyDescent="0.3">
      <c r="A4" s="5" t="s">
        <v>92</v>
      </c>
      <c r="B4" s="25">
        <v>10000</v>
      </c>
    </row>
    <row r="5" spans="1:3" x14ac:dyDescent="0.3">
      <c r="A5" s="5" t="s">
        <v>93</v>
      </c>
      <c r="B5" s="25">
        <v>15000</v>
      </c>
    </row>
    <row r="6" spans="1:3" x14ac:dyDescent="0.3">
      <c r="A6" s="5" t="s">
        <v>94</v>
      </c>
      <c r="B6" s="25">
        <v>20000</v>
      </c>
    </row>
    <row r="7" spans="1:3" x14ac:dyDescent="0.3">
      <c r="A7" s="5" t="s">
        <v>6</v>
      </c>
      <c r="B7" s="6" t="str">
        <f>NR_Expenses</f>
        <v>Client_Info!$B$6</v>
      </c>
    </row>
    <row r="9" spans="1:3" x14ac:dyDescent="0.3">
      <c r="A9" s="37" t="s">
        <v>95</v>
      </c>
      <c r="B9" s="39"/>
    </row>
    <row r="10" spans="1:3" x14ac:dyDescent="0.3">
      <c r="A10" s="5" t="s">
        <v>96</v>
      </c>
      <c r="B10" s="6">
        <f>SUM(B4:B6)</f>
        <v>45000</v>
      </c>
    </row>
    <row r="11" spans="1:3" x14ac:dyDescent="0.3">
      <c r="A11" s="5" t="s">
        <v>97</v>
      </c>
      <c r="B11" s="20" t="e">
        <f>IF(B7&gt;0,B10/B7,0)</f>
        <v>#VALUE!</v>
      </c>
    </row>
    <row r="12" spans="1:3" x14ac:dyDescent="0.3">
      <c r="A12" s="5" t="s">
        <v>98</v>
      </c>
      <c r="B12" s="5" t="e">
        <f>IF(B11&gt;=6,"Green - Healthy",IF(B11&gt;=3,"Yellow - Caution","Red - Critical"))</f>
        <v>#VALUE!</v>
      </c>
    </row>
  </sheetData>
  <mergeCells count="2">
    <mergeCell ref="A1:C1"/>
    <mergeCell ref="A9:B9"/>
  </mergeCells>
  <conditionalFormatting sqref="B12">
    <cfRule type="containsText" dxfId="2" priority="1" operator="containsText" text="Green">
      <formula>NOT(ISERROR(SEARCH("Green",B12)))</formula>
    </cfRule>
    <cfRule type="containsText" dxfId="1" priority="2" operator="containsText" text="Yellow">
      <formula>NOT(ISERROR(SEARCH("Yellow",B12)))</formula>
    </cfRule>
    <cfRule type="containsText" dxfId="0" priority="3" operator="containsText" text="Red">
      <formula>NOT(ISERROR(SEARCH("Red",B12)))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1D5E-B9DB-4D18-8BC7-4CEB2CD6DB14}">
  <dimension ref="A1:B12"/>
  <sheetViews>
    <sheetView workbookViewId="0"/>
  </sheetViews>
  <sheetFormatPr defaultRowHeight="14.4" x14ac:dyDescent="0.3"/>
  <cols>
    <col min="1" max="1" width="28" bestFit="1" customWidth="1"/>
    <col min="2" max="2" width="30.5546875" bestFit="1" customWidth="1"/>
  </cols>
  <sheetData>
    <row r="1" spans="1:2" ht="21" x14ac:dyDescent="0.4">
      <c r="A1" s="40" t="s">
        <v>99</v>
      </c>
      <c r="B1" s="40"/>
    </row>
    <row r="3" spans="1:2" x14ac:dyDescent="0.3">
      <c r="A3" s="3" t="s">
        <v>100</v>
      </c>
      <c r="B3" s="3" t="s">
        <v>1</v>
      </c>
    </row>
    <row r="4" spans="1:2" x14ac:dyDescent="0.3">
      <c r="A4" s="5" t="s">
        <v>25</v>
      </c>
      <c r="B4" s="26" t="e">
        <f>IF(NR_Income&gt;0,(NR_Income-NR_Expenses*12)/NR_Income,0)</f>
        <v>#VALUE!</v>
      </c>
    </row>
    <row r="5" spans="1:2" x14ac:dyDescent="0.3">
      <c r="A5" s="5" t="s">
        <v>101</v>
      </c>
      <c r="B5" s="26" t="e">
        <f>IF(NR_Income&gt;0,NR_Debt/NR_Income,0)</f>
        <v>#VALUE!</v>
      </c>
    </row>
    <row r="6" spans="1:2" x14ac:dyDescent="0.3">
      <c r="A6" s="5" t="s">
        <v>102</v>
      </c>
      <c r="B6" s="27" t="str">
        <f>NR_Liquidity_Ratio</f>
        <v>Liquidity_HeatMap!$B$11</v>
      </c>
    </row>
    <row r="7" spans="1:2" x14ac:dyDescent="0.3">
      <c r="A7" s="5" t="s">
        <v>103</v>
      </c>
      <c r="B7" s="28" t="str">
        <f>NR_CFV_Index</f>
        <v>CashFlow_Volatility!$B$7</v>
      </c>
    </row>
    <row r="8" spans="1:2" x14ac:dyDescent="0.3">
      <c r="A8" s="5" t="s">
        <v>104</v>
      </c>
      <c r="B8" s="29" t="str">
        <f>NR_SES_Score</f>
        <v>Savings_Efficiency!$B$10</v>
      </c>
    </row>
    <row r="9" spans="1:2" x14ac:dyDescent="0.3">
      <c r="A9" s="5" t="s">
        <v>105</v>
      </c>
      <c r="B9" s="29" t="str">
        <f>NR_HF_Ratio</f>
        <v>Human_Capital_Model!$B$6</v>
      </c>
    </row>
    <row r="10" spans="1:2" x14ac:dyDescent="0.3">
      <c r="A10" s="5" t="s">
        <v>69</v>
      </c>
      <c r="B10" s="26" t="str">
        <f>NR_Personal_Inflation</f>
        <v>Inflation_Exposure!$B$10</v>
      </c>
    </row>
    <row r="11" spans="1:2" x14ac:dyDescent="0.3">
      <c r="A11" s="5" t="s">
        <v>106</v>
      </c>
      <c r="B11" s="29" t="str">
        <f>NR_Stress_Score</f>
        <v>Stress_Test!$B$13</v>
      </c>
    </row>
    <row r="12" spans="1:2" x14ac:dyDescent="0.3">
      <c r="A12" s="5" t="s">
        <v>107</v>
      </c>
      <c r="B12" s="30" t="str">
        <f>NR_PLEV</f>
        <v>Personal_Economic_Value!$B$10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B76F-30CC-4885-B39D-F7C1F82F6988}">
  <dimension ref="A1:B25"/>
  <sheetViews>
    <sheetView workbookViewId="0"/>
  </sheetViews>
  <sheetFormatPr defaultRowHeight="14.4" x14ac:dyDescent="0.3"/>
  <cols>
    <col min="1" max="1" width="38.109375" customWidth="1"/>
    <col min="2" max="2" width="66.6640625" customWidth="1"/>
  </cols>
  <sheetData>
    <row r="1" spans="1:2" ht="23.4" x14ac:dyDescent="0.45">
      <c r="A1" s="41" t="s">
        <v>108</v>
      </c>
      <c r="B1" s="41"/>
    </row>
    <row r="3" spans="1:2" ht="15.6" x14ac:dyDescent="0.3">
      <c r="A3" s="31" t="s">
        <v>109</v>
      </c>
      <c r="B3" s="18"/>
    </row>
    <row r="4" spans="1:2" x14ac:dyDescent="0.3">
      <c r="A4" s="5" t="s">
        <v>2</v>
      </c>
      <c r="B4" s="8" t="str">
        <f>NR_Client_Name</f>
        <v>Client_Info!$B$2</v>
      </c>
    </row>
    <row r="5" spans="1:2" x14ac:dyDescent="0.3">
      <c r="A5" s="5" t="s">
        <v>3</v>
      </c>
      <c r="B5" s="8" t="str">
        <f>NR_Age</f>
        <v>Client_Info!$B$3</v>
      </c>
    </row>
    <row r="6" spans="1:2" x14ac:dyDescent="0.3">
      <c r="A6" s="5" t="s">
        <v>4</v>
      </c>
      <c r="B6" s="8" t="str">
        <f>NR_Location</f>
        <v>Client_Info!$B$4</v>
      </c>
    </row>
    <row r="8" spans="1:2" ht="15.6" x14ac:dyDescent="0.3">
      <c r="A8" s="31" t="s">
        <v>110</v>
      </c>
      <c r="B8" s="18"/>
    </row>
    <row r="9" spans="1:2" x14ac:dyDescent="0.3">
      <c r="A9" s="5" t="s">
        <v>107</v>
      </c>
      <c r="B9" s="6" t="str">
        <f>NR_PLEV</f>
        <v>Personal_Economic_Value!$B$10</v>
      </c>
    </row>
    <row r="10" spans="1:2" x14ac:dyDescent="0.3">
      <c r="A10" s="5" t="s">
        <v>104</v>
      </c>
      <c r="B10" s="11" t="str">
        <f>NR_SES_Score</f>
        <v>Savings_Efficiency!$B$10</v>
      </c>
    </row>
    <row r="11" spans="1:2" x14ac:dyDescent="0.3">
      <c r="A11" s="5" t="s">
        <v>103</v>
      </c>
      <c r="B11" s="10" t="str">
        <f>NR_CFV_Index</f>
        <v>CashFlow_Volatility!$B$7</v>
      </c>
    </row>
    <row r="12" spans="1:2" x14ac:dyDescent="0.3">
      <c r="A12" s="5" t="s">
        <v>105</v>
      </c>
      <c r="B12" s="11" t="str">
        <f>NR_HF_Ratio</f>
        <v>Human_Capital_Model!$B$6</v>
      </c>
    </row>
    <row r="13" spans="1:2" x14ac:dyDescent="0.3">
      <c r="A13" s="5" t="s">
        <v>69</v>
      </c>
      <c r="B13" s="9" t="str">
        <f>NR_Personal_Inflation</f>
        <v>Inflation_Exposure!$B$10</v>
      </c>
    </row>
    <row r="14" spans="1:2" x14ac:dyDescent="0.3">
      <c r="A14" s="5" t="s">
        <v>106</v>
      </c>
      <c r="B14" s="11" t="str">
        <f>NR_Stress_Score</f>
        <v>Stress_Test!$B$13</v>
      </c>
    </row>
    <row r="15" spans="1:2" x14ac:dyDescent="0.3">
      <c r="A15" s="5" t="s">
        <v>98</v>
      </c>
      <c r="B15" s="32" t="str">
        <f>NR_Liquidity_Zone</f>
        <v>Liquidity_HeatMap!$B$12</v>
      </c>
    </row>
    <row r="17" spans="1:2" ht="15.6" x14ac:dyDescent="0.3">
      <c r="A17" s="31" t="s">
        <v>111</v>
      </c>
      <c r="B17" s="18"/>
    </row>
    <row r="18" spans="1:2" x14ac:dyDescent="0.3">
      <c r="A18" s="5" t="s">
        <v>112</v>
      </c>
      <c r="B18" s="33" t="s">
        <v>113</v>
      </c>
    </row>
    <row r="19" spans="1:2" x14ac:dyDescent="0.3">
      <c r="A19" s="5" t="s">
        <v>114</v>
      </c>
      <c r="B19" s="33" t="s">
        <v>115</v>
      </c>
    </row>
    <row r="20" spans="1:2" x14ac:dyDescent="0.3">
      <c r="A20" s="5" t="s">
        <v>116</v>
      </c>
      <c r="B20" s="33" t="s">
        <v>117</v>
      </c>
    </row>
    <row r="21" spans="1:2" x14ac:dyDescent="0.3">
      <c r="A21" s="5" t="s">
        <v>118</v>
      </c>
      <c r="B21" s="33" t="s">
        <v>119</v>
      </c>
    </row>
    <row r="22" spans="1:2" x14ac:dyDescent="0.3">
      <c r="A22" s="5" t="s">
        <v>120</v>
      </c>
      <c r="B22" s="33" t="s">
        <v>121</v>
      </c>
    </row>
    <row r="23" spans="1:2" x14ac:dyDescent="0.3">
      <c r="A23" s="5" t="s">
        <v>122</v>
      </c>
      <c r="B23" s="33" t="s">
        <v>123</v>
      </c>
    </row>
    <row r="24" spans="1:2" x14ac:dyDescent="0.3">
      <c r="A24" s="5" t="s">
        <v>124</v>
      </c>
      <c r="B24" s="33" t="s">
        <v>125</v>
      </c>
    </row>
    <row r="25" spans="1:2" x14ac:dyDescent="0.3">
      <c r="A25" s="5" t="s">
        <v>126</v>
      </c>
      <c r="B25" s="33" t="s">
        <v>127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Client_Info</vt:lpstr>
      <vt:lpstr>Personal_Economic_Value</vt:lpstr>
      <vt:lpstr>CashFlow_Volatility</vt:lpstr>
      <vt:lpstr>Savings_Efficiency</vt:lpstr>
      <vt:lpstr>Human_Capital_Model</vt:lpstr>
      <vt:lpstr>Inflation_Exposure</vt:lpstr>
      <vt:lpstr>Stress_Test</vt:lpstr>
      <vt:lpstr>Liquidity_HeatMap</vt:lpstr>
      <vt:lpstr>KPIs</vt:lpstr>
      <vt:lpstr>Export_Report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Qeihan Anderson</dc:creator>
  <cp:keywords/>
  <dc:description/>
  <cp:lastModifiedBy>Qeihan Anderson</cp:lastModifiedBy>
  <cp:revision/>
  <dcterms:created xsi:type="dcterms:W3CDTF">2026-05-18T21:15:30Z</dcterms:created>
  <dcterms:modified xsi:type="dcterms:W3CDTF">2026-05-21T05:50:45Z</dcterms:modified>
  <cp:category/>
  <cp:contentStatus/>
</cp:coreProperties>
</file>