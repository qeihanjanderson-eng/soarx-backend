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eiha\soarx-fastapi\engines\"/>
    </mc:Choice>
  </mc:AlternateContent>
  <xr:revisionPtr revIDLastSave="0" documentId="8_{CB20CF21-A906-4C58-ACD9-411FF52C4020}" xr6:coauthVersionLast="47" xr6:coauthVersionMax="47" xr10:uidLastSave="{00000000-0000-0000-0000-000000000000}"/>
  <bookViews>
    <workbookView xWindow="1536" yWindow="1536" windowWidth="17280" windowHeight="9960" activeTab="1" xr2:uid="{4DDBB534-B2C4-4799-B298-4539FA07D9CB}"/>
  </bookViews>
  <sheets>
    <sheet name="Dashboard" sheetId="11" r:id="rId1"/>
    <sheet name="Client_Info" sheetId="2" r:id="rId2"/>
    <sheet name="Product_Input" sheetId="3" r:id="rId3"/>
    <sheet name="Market_Input" sheetId="4" r:id="rId4"/>
    <sheet name="FX_Rates" sheetId="5" r:id="rId5"/>
    <sheet name="Pricing_Logic" sheetId="6" r:id="rId6"/>
    <sheet name="Scenarios" sheetId="7" r:id="rId7"/>
    <sheet name="Outputs" sheetId="8" r:id="rId8"/>
    <sheet name="Data_Audit" sheetId="9" r:id="rId9"/>
  </sheets>
  <definedNames>
    <definedName name="BaseCase_Local">Scenarios!$B$2</definedName>
    <definedName name="BestCase_Local">Scenarios!$B$3</definedName>
    <definedName name="BreakEven_Local">Pricing_Logic!$B$5</definedName>
    <definedName name="BreakEven_USD">Pricing_Logic!$B$11</definedName>
    <definedName name="Business_Name">Client_Info!$B$2</definedName>
    <definedName name="Client_City">Client_Info!$B$6</definedName>
    <definedName name="Client_Country">Client_Info!$B$4</definedName>
    <definedName name="Client_Currency">Client_Info!$B$8</definedName>
    <definedName name="Client_Name">Client_Info!$B$1</definedName>
    <definedName name="Client_State">Client_Info!$B$5</definedName>
    <definedName name="Client_ZIP">Client_Info!$B$7</definedName>
    <definedName name="COGS">Product_Input!$F$2</definedName>
    <definedName name="COL_Index">Market_Input!$G$2</definedName>
    <definedName name="Commodity_Change">Market_Input!$H$2</definedName>
    <definedName name="Comp_Avg">Market_Input!$B$2</definedName>
    <definedName name="Comp_Max">Market_Input!$D$2</definedName>
    <definedName name="Comp_Min">Market_Input!$C$2</definedName>
    <definedName name="CompPrice_Local">Pricing_Logic!$B$3</definedName>
    <definedName name="CompPrice_USD">Pricing_Logic!$B$9</definedName>
    <definedName name="CostPlus_Local">Pricing_Logic!$B$1</definedName>
    <definedName name="CostPlus_USD">Pricing_Logic!$B$8</definedName>
    <definedName name="Fixed_Cost">Product_Input!$J$2</definedName>
    <definedName name="FX_Code">FX_Rates!$A$2:$A$13</definedName>
    <definedName name="FX_Rate">FX_Rates!$E$3</definedName>
    <definedName name="FX_Value">FX_Rates!$B$2:$B$13</definedName>
    <definedName name="Industry">Client_Info!$B$3</definedName>
    <definedName name="Inflation_Rate">Market_Input!$E$2</definedName>
    <definedName name="InflationPrice_Local">Pricing_Logic!$B$4</definedName>
    <definedName name="InflationPrice_USD">Pricing_Logic!$B$10</definedName>
    <definedName name="Labor_Cost">Product_Input!$G$2</definedName>
    <definedName name="Overhead_Cost">Product_Input!$H$2</definedName>
    <definedName name="Position_Adjust">Pricing_Logic!$B$2</definedName>
    <definedName name="Positioning">Product_Input!$L$2</definedName>
    <definedName name="Prev_Month_End">FX_Rates!$E$2</definedName>
    <definedName name="Product_Category">Product_Input!$D$2</definedName>
    <definedName name="Product_Description">Product_Input!$C$2</definedName>
    <definedName name="Product_Name">Product_Input!$B$2</definedName>
    <definedName name="Recommended_Local">Outputs!$B$3</definedName>
    <definedName name="Seasonality">Market_Input!$J$2</definedName>
    <definedName name="Target_Margin">Product_Input!$K$2</definedName>
    <definedName name="Total_Cost">Product_Input!$M$2</definedName>
    <definedName name="Unit_Size">Product_Input!$E$2</definedName>
    <definedName name="Units_History">Market_Input!$I$2</definedName>
    <definedName name="Valuation_Date">FX_Rates!$E$1</definedName>
    <definedName name="Variable_Cost">Product_Input!$I$2</definedName>
    <definedName name="Wage_Growth">Market_Input!$F$2</definedName>
    <definedName name="WorstCase_Local">Scenarios!$B$4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3" i="11" l="1"/>
  <c r="A24" i="11"/>
  <c r="A25" i="11"/>
  <c r="A26" i="11"/>
  <c r="A27" i="11"/>
  <c r="A28" i="11"/>
  <c r="A29" i="11"/>
  <c r="A30" i="11"/>
  <c r="A31" i="11"/>
  <c r="A32" i="11"/>
  <c r="G23" i="11"/>
  <c r="G24" i="11"/>
  <c r="G25" i="11"/>
  <c r="G26" i="11"/>
  <c r="G27" i="11"/>
  <c r="G28" i="11"/>
  <c r="G29" i="11"/>
  <c r="G30" i="11"/>
  <c r="G31" i="11"/>
  <c r="G32" i="11"/>
  <c r="A37" i="11"/>
  <c r="A38" i="11"/>
  <c r="A39" i="11"/>
  <c r="A40" i="11"/>
  <c r="A41" i="11"/>
  <c r="A42" i="11"/>
  <c r="A43" i="11"/>
  <c r="A44" i="11"/>
  <c r="A45" i="11"/>
  <c r="A46" i="11"/>
  <c r="B13" i="11"/>
  <c r="B14" i="11"/>
  <c r="B15" i="11"/>
  <c r="B16" i="11"/>
  <c r="B17" i="11"/>
  <c r="B18" i="11"/>
  <c r="F8" i="9"/>
  <c r="F7" i="9"/>
  <c r="F6" i="9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50" i="9"/>
  <c r="F50" i="9"/>
  <c r="E50" i="9"/>
  <c r="D50" i="9"/>
  <c r="C50" i="9"/>
  <c r="B50" i="9"/>
  <c r="G49" i="9"/>
  <c r="F49" i="9"/>
  <c r="E49" i="9"/>
  <c r="D49" i="9"/>
  <c r="C49" i="9"/>
  <c r="B49" i="9"/>
  <c r="G48" i="9"/>
  <c r="F48" i="9"/>
  <c r="E48" i="9"/>
  <c r="D48" i="9"/>
  <c r="C48" i="9"/>
  <c r="B48" i="9"/>
  <c r="G47" i="9"/>
  <c r="F47" i="9"/>
  <c r="E47" i="9"/>
  <c r="D47" i="9"/>
  <c r="C47" i="9"/>
  <c r="B47" i="9"/>
  <c r="G46" i="9"/>
  <c r="F46" i="9"/>
  <c r="E46" i="9"/>
  <c r="D46" i="9"/>
  <c r="C46" i="9"/>
  <c r="B46" i="9"/>
  <c r="G45" i="9"/>
  <c r="F45" i="9"/>
  <c r="E45" i="9"/>
  <c r="D45" i="9"/>
  <c r="C45" i="9"/>
  <c r="B45" i="9"/>
  <c r="G44" i="9"/>
  <c r="F44" i="9"/>
  <c r="E44" i="9"/>
  <c r="D44" i="9"/>
  <c r="C44" i="9"/>
  <c r="B44" i="9"/>
  <c r="G43" i="9"/>
  <c r="F43" i="9"/>
  <c r="E43" i="9"/>
  <c r="D43" i="9"/>
  <c r="C43" i="9"/>
  <c r="B43" i="9"/>
  <c r="G42" i="9"/>
  <c r="F42" i="9"/>
  <c r="E42" i="9"/>
  <c r="D42" i="9"/>
  <c r="C42" i="9"/>
  <c r="B42" i="9"/>
  <c r="G41" i="9"/>
  <c r="F41" i="9"/>
  <c r="E41" i="9"/>
  <c r="D41" i="9"/>
  <c r="C41" i="9"/>
  <c r="B41" i="9"/>
  <c r="G40" i="9"/>
  <c r="F40" i="9"/>
  <c r="E40" i="9"/>
  <c r="D40" i="9"/>
  <c r="C40" i="9"/>
  <c r="B40" i="9"/>
  <c r="G39" i="9"/>
  <c r="F39" i="9"/>
  <c r="E39" i="9"/>
  <c r="D39" i="9"/>
  <c r="C39" i="9"/>
  <c r="B39" i="9"/>
  <c r="G38" i="9"/>
  <c r="F38" i="9"/>
  <c r="E38" i="9"/>
  <c r="D38" i="9"/>
  <c r="C38" i="9"/>
  <c r="B38" i="9"/>
  <c r="G37" i="9"/>
  <c r="F37" i="9"/>
  <c r="E37" i="9"/>
  <c r="D37" i="9"/>
  <c r="C37" i="9"/>
  <c r="B37" i="9"/>
  <c r="G36" i="9"/>
  <c r="F36" i="9"/>
  <c r="E36" i="9"/>
  <c r="D36" i="9"/>
  <c r="C36" i="9"/>
  <c r="B36" i="9"/>
  <c r="G35" i="9"/>
  <c r="F35" i="9"/>
  <c r="E35" i="9"/>
  <c r="D35" i="9"/>
  <c r="C35" i="9"/>
  <c r="B35" i="9"/>
  <c r="G34" i="9"/>
  <c r="F34" i="9"/>
  <c r="E34" i="9"/>
  <c r="D34" i="9"/>
  <c r="C34" i="9"/>
  <c r="B34" i="9"/>
  <c r="G33" i="9"/>
  <c r="F33" i="9"/>
  <c r="E33" i="9"/>
  <c r="D33" i="9"/>
  <c r="C33" i="9"/>
  <c r="B33" i="9"/>
  <c r="G32" i="9"/>
  <c r="F32" i="9"/>
  <c r="E32" i="9"/>
  <c r="D32" i="9"/>
  <c r="C32" i="9"/>
  <c r="B32" i="9"/>
  <c r="G31" i="9"/>
  <c r="F31" i="9"/>
  <c r="E31" i="9"/>
  <c r="D31" i="9"/>
  <c r="C31" i="9"/>
  <c r="B31" i="9"/>
  <c r="G30" i="9"/>
  <c r="F30" i="9"/>
  <c r="E30" i="9"/>
  <c r="D30" i="9"/>
  <c r="C30" i="9"/>
  <c r="B30" i="9"/>
  <c r="G29" i="9"/>
  <c r="F29" i="9"/>
  <c r="E29" i="9"/>
  <c r="D29" i="9"/>
  <c r="C29" i="9"/>
  <c r="B29" i="9"/>
  <c r="G28" i="9"/>
  <c r="F28" i="9"/>
  <c r="E28" i="9"/>
  <c r="D28" i="9"/>
  <c r="C28" i="9"/>
  <c r="B28" i="9"/>
  <c r="G27" i="9"/>
  <c r="F27" i="9"/>
  <c r="E27" i="9"/>
  <c r="D27" i="9"/>
  <c r="C27" i="9"/>
  <c r="B27" i="9"/>
  <c r="G26" i="9"/>
  <c r="F26" i="9"/>
  <c r="E26" i="9"/>
  <c r="D26" i="9"/>
  <c r="C26" i="9"/>
  <c r="B26" i="9"/>
  <c r="F16" i="9"/>
  <c r="F15" i="9"/>
  <c r="F14" i="9"/>
  <c r="F10" i="9"/>
  <c r="F9" i="9"/>
  <c r="C17" i="9"/>
  <c r="B17" i="9"/>
  <c r="C16" i="9"/>
  <c r="B16" i="9"/>
  <c r="C15" i="9"/>
  <c r="B15" i="9"/>
  <c r="C14" i="9"/>
  <c r="B14" i="9"/>
  <c r="C9" i="9"/>
  <c r="B9" i="9"/>
  <c r="C8" i="9"/>
  <c r="B8" i="9"/>
  <c r="B7" i="9"/>
  <c r="B6" i="9"/>
  <c r="B13" i="5"/>
  <c r="B12" i="5"/>
  <c r="B11" i="5"/>
  <c r="B10" i="5"/>
  <c r="B9" i="5"/>
  <c r="B8" i="5"/>
  <c r="B7" i="5"/>
  <c r="B6" i="5"/>
  <c r="B5" i="5"/>
  <c r="B4" i="5"/>
  <c r="B3" i="5"/>
  <c r="B2" i="5"/>
  <c r="G53" i="11"/>
  <c r="G54" i="11"/>
  <c r="G55" i="11"/>
  <c r="B2" i="8"/>
  <c r="G2" i="8"/>
  <c r="B3" i="8"/>
  <c r="G3" i="8"/>
  <c r="B4" i="8"/>
  <c r="G4" i="8"/>
  <c r="B5" i="8"/>
  <c r="G5" i="8"/>
  <c r="B6" i="8"/>
  <c r="G6" i="8"/>
  <c r="B7" i="8"/>
  <c r="G7" i="8"/>
  <c r="B8" i="8"/>
  <c r="G8" i="8"/>
  <c r="B9" i="8"/>
  <c r="G9" i="8"/>
  <c r="B10" i="8"/>
  <c r="G10" i="8"/>
  <c r="B11" i="8"/>
  <c r="G11" i="8"/>
  <c r="B12" i="8"/>
  <c r="G12" i="8"/>
  <c r="B13" i="8"/>
  <c r="G13" i="8"/>
  <c r="B14" i="8"/>
  <c r="G14" i="8"/>
  <c r="B15" i="8"/>
  <c r="G15" i="8"/>
  <c r="B16" i="8"/>
  <c r="G16" i="8"/>
  <c r="B17" i="8"/>
  <c r="G17" i="8"/>
  <c r="B18" i="8"/>
  <c r="G18" i="8"/>
  <c r="B19" i="8"/>
  <c r="G19" i="8"/>
  <c r="B20" i="8"/>
  <c r="G20" i="8"/>
  <c r="B21" i="8"/>
  <c r="G21" i="8"/>
  <c r="B22" i="8"/>
  <c r="G22" i="8"/>
  <c r="B23" i="8"/>
  <c r="G23" i="8"/>
  <c r="B24" i="8"/>
  <c r="G24" i="8"/>
  <c r="B25" i="8"/>
  <c r="G25" i="8"/>
  <c r="B26" i="8"/>
  <c r="G26" i="8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D2" i="6" a="1"/>
  <c r="E2" i="6"/>
  <c r="D3" i="6" a="1"/>
  <c r="E3" i="6"/>
  <c r="D4" i="6" a="1"/>
  <c r="E4" i="6"/>
  <c r="D5" i="6" a="1"/>
  <c r="E5" i="6"/>
  <c r="D6" i="6" a="1"/>
  <c r="E6" i="6"/>
  <c r="D7" i="6" a="1"/>
  <c r="E7" i="6"/>
  <c r="D8" i="6" a="1"/>
  <c r="E8" i="6"/>
  <c r="D9" i="6" a="1"/>
  <c r="E9" i="6"/>
  <c r="D10" i="6" a="1"/>
  <c r="E10" i="6"/>
  <c r="D11" i="6" a="1"/>
  <c r="E11" i="6"/>
  <c r="D12" i="6" a="1"/>
  <c r="E12" i="6"/>
  <c r="D13" i="6" a="1"/>
  <c r="E13" i="6"/>
  <c r="D14" i="6" a="1"/>
  <c r="E14" i="6"/>
  <c r="D15" i="6" a="1"/>
  <c r="E15" i="6"/>
  <c r="D16" i="6" a="1"/>
  <c r="E16" i="6"/>
  <c r="D17" i="6" a="1"/>
  <c r="E17" i="6"/>
  <c r="D18" i="6" a="1"/>
  <c r="E18" i="6"/>
  <c r="D19" i="6" a="1"/>
  <c r="E19" i="6"/>
  <c r="D20" i="6" a="1"/>
  <c r="E20" i="6"/>
  <c r="D21" i="6" a="1"/>
  <c r="E21" i="6"/>
  <c r="D22" i="6" a="1"/>
  <c r="E22" i="6"/>
  <c r="D23" i="6" a="1"/>
  <c r="E23" i="6"/>
  <c r="D24" i="6" a="1"/>
  <c r="E24" i="6"/>
  <c r="D25" i="6" a="1"/>
  <c r="E25" i="6"/>
  <c r="D26" i="6" a="1"/>
  <c r="E26" i="6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D23" i="11" l="1"/>
  <c r="D24" i="11"/>
  <c r="D25" i="11"/>
  <c r="D26" i="11"/>
  <c r="D27" i="11"/>
  <c r="D28" i="11"/>
  <c r="D29" i="11"/>
  <c r="D30" i="11"/>
  <c r="D31" i="11"/>
  <c r="D32" i="11"/>
  <c r="H40" i="9"/>
  <c r="B26" i="6"/>
  <c r="G26" i="6" s="1"/>
  <c r="E26" i="8" s="1"/>
  <c r="H50" i="9"/>
  <c r="B25" i="6"/>
  <c r="G25" i="6" s="1"/>
  <c r="E25" i="8" s="1"/>
  <c r="H49" i="9"/>
  <c r="H48" i="9"/>
  <c r="B24" i="6"/>
  <c r="G24" i="6" s="1"/>
  <c r="E24" i="8" s="1"/>
  <c r="B23" i="6"/>
  <c r="H47" i="9"/>
  <c r="B22" i="6"/>
  <c r="G22" i="6" s="1"/>
  <c r="E22" i="8" s="1"/>
  <c r="H46" i="9"/>
  <c r="H45" i="9"/>
  <c r="B21" i="6"/>
  <c r="G21" i="6" s="1"/>
  <c r="E21" i="8" s="1"/>
  <c r="B20" i="6"/>
  <c r="G20" i="6" s="1"/>
  <c r="E20" i="8" s="1"/>
  <c r="H44" i="9"/>
  <c r="B19" i="6"/>
  <c r="G19" i="6" s="1"/>
  <c r="E19" i="8" s="1"/>
  <c r="H43" i="9"/>
  <c r="B18" i="6"/>
  <c r="G18" i="6" s="1"/>
  <c r="E18" i="8" s="1"/>
  <c r="H42" i="9"/>
  <c r="B17" i="6"/>
  <c r="H41" i="9"/>
  <c r="B16" i="6"/>
  <c r="D15" i="6"/>
  <c r="B15" i="6"/>
  <c r="H39" i="9"/>
  <c r="D14" i="6"/>
  <c r="H38" i="9"/>
  <c r="B14" i="6"/>
  <c r="D13" i="6"/>
  <c r="B13" i="6"/>
  <c r="H37" i="9"/>
  <c r="B12" i="6"/>
  <c r="H36" i="9"/>
  <c r="D11" i="6"/>
  <c r="B11" i="6"/>
  <c r="H35" i="9"/>
  <c r="D10" i="6"/>
  <c r="B10" i="6"/>
  <c r="H34" i="9"/>
  <c r="D9" i="6"/>
  <c r="B9" i="6"/>
  <c r="H33" i="9"/>
  <c r="D8" i="6"/>
  <c r="B8" i="6"/>
  <c r="H32" i="9"/>
  <c r="D7" i="6"/>
  <c r="B7" i="6"/>
  <c r="H31" i="9"/>
  <c r="D6" i="6"/>
  <c r="B6" i="6"/>
  <c r="H30" i="9"/>
  <c r="D5" i="6"/>
  <c r="B5" i="6"/>
  <c r="C5" i="6" s="1"/>
  <c r="C26" i="11" s="1"/>
  <c r="H29" i="9"/>
  <c r="D4" i="6"/>
  <c r="B4" i="6"/>
  <c r="H28" i="9"/>
  <c r="D3" i="6"/>
  <c r="B3" i="6"/>
  <c r="H27" i="9"/>
  <c r="D2" i="6"/>
  <c r="B22" i="9"/>
  <c r="B2" i="6"/>
  <c r="F17" i="9"/>
  <c r="G17" i="9" s="1"/>
  <c r="H26" i="9"/>
  <c r="C7" i="9"/>
  <c r="C6" i="9"/>
  <c r="J14" i="6"/>
  <c r="J12" i="6"/>
  <c r="J7" i="6"/>
  <c r="D21" i="6"/>
  <c r="D24" i="6"/>
  <c r="D18" i="6"/>
  <c r="D20" i="6"/>
  <c r="D19" i="6"/>
  <c r="D22" i="6"/>
  <c r="D26" i="6"/>
  <c r="D12" i="6"/>
  <c r="D16" i="6"/>
  <c r="D17" i="6"/>
  <c r="D23" i="6"/>
  <c r="D25" i="6"/>
  <c r="L26" i="6" l="1"/>
  <c r="F26" i="8" s="1"/>
  <c r="C26" i="6"/>
  <c r="C25" i="6"/>
  <c r="C24" i="6"/>
  <c r="G23" i="6"/>
  <c r="E23" i="8" s="1"/>
  <c r="C23" i="6"/>
  <c r="C22" i="6"/>
  <c r="C21" i="6"/>
  <c r="C20" i="6"/>
  <c r="C19" i="6"/>
  <c r="C18" i="6"/>
  <c r="G17" i="6"/>
  <c r="E17" i="8" s="1"/>
  <c r="C17" i="6"/>
  <c r="G16" i="6"/>
  <c r="E16" i="8" s="1"/>
  <c r="C16" i="6"/>
  <c r="G15" i="6"/>
  <c r="E15" i="8" s="1"/>
  <c r="C15" i="6"/>
  <c r="C14" i="6"/>
  <c r="G14" i="6"/>
  <c r="E14" i="8" s="1"/>
  <c r="G13" i="6"/>
  <c r="E13" i="8" s="1"/>
  <c r="C13" i="6"/>
  <c r="C12" i="6"/>
  <c r="G12" i="6"/>
  <c r="E12" i="8" s="1"/>
  <c r="C11" i="6"/>
  <c r="C32" i="11" s="1"/>
  <c r="G11" i="6"/>
  <c r="E32" i="11" s="1"/>
  <c r="C10" i="6"/>
  <c r="C31" i="11" s="1"/>
  <c r="G10" i="6"/>
  <c r="E31" i="11" s="1"/>
  <c r="C9" i="6"/>
  <c r="C30" i="11" s="1"/>
  <c r="G9" i="6"/>
  <c r="E30" i="11" s="1"/>
  <c r="C8" i="6"/>
  <c r="C29" i="11" s="1"/>
  <c r="G8" i="6"/>
  <c r="E29" i="11" s="1"/>
  <c r="C7" i="6"/>
  <c r="C28" i="11" s="1"/>
  <c r="G7" i="6"/>
  <c r="E28" i="11" s="1"/>
  <c r="C6" i="6"/>
  <c r="C27" i="11" s="1"/>
  <c r="G6" i="6"/>
  <c r="E27" i="11" s="1"/>
  <c r="F5" i="6"/>
  <c r="G5" i="6"/>
  <c r="E26" i="11" s="1"/>
  <c r="B5" i="7"/>
  <c r="C40" i="11" s="1"/>
  <c r="C5" i="8"/>
  <c r="B26" i="11" s="1"/>
  <c r="E5" i="8"/>
  <c r="G4" i="6"/>
  <c r="E25" i="11" s="1"/>
  <c r="C4" i="6"/>
  <c r="C25" i="11" s="1"/>
  <c r="G3" i="6"/>
  <c r="E24" i="11" s="1"/>
  <c r="C3" i="6"/>
  <c r="C24" i="11" s="1"/>
  <c r="G2" i="6"/>
  <c r="E23" i="11" s="1"/>
  <c r="C2" i="6"/>
  <c r="C23" i="11" s="1"/>
  <c r="J26" i="6"/>
  <c r="L2" i="6"/>
  <c r="F2" i="8" s="1"/>
  <c r="J2" i="6"/>
  <c r="J8" i="6"/>
  <c r="J9" i="6"/>
  <c r="J13" i="6"/>
  <c r="L21" i="6"/>
  <c r="F21" i="8" s="1"/>
  <c r="J21" i="6"/>
  <c r="L22" i="6"/>
  <c r="F22" i="8" s="1"/>
  <c r="J22" i="6"/>
  <c r="J24" i="6"/>
  <c r="L24" i="6"/>
  <c r="F24" i="8" s="1"/>
  <c r="J11" i="6"/>
  <c r="J19" i="6"/>
  <c r="L19" i="6"/>
  <c r="F19" i="8" s="1"/>
  <c r="J23" i="6"/>
  <c r="J25" i="6"/>
  <c r="L25" i="6"/>
  <c r="F25" i="8" s="1"/>
  <c r="J15" i="6"/>
  <c r="J16" i="6"/>
  <c r="L18" i="6"/>
  <c r="F18" i="8" s="1"/>
  <c r="J18" i="6"/>
  <c r="J20" i="6"/>
  <c r="L20" i="6"/>
  <c r="F20" i="8" s="1"/>
  <c r="J4" i="6"/>
  <c r="J6" i="6"/>
  <c r="J17" i="6"/>
  <c r="J3" i="6"/>
  <c r="I5" i="6"/>
  <c r="J5" i="6"/>
  <c r="J10" i="6"/>
  <c r="B19" i="7" l="1"/>
  <c r="B24" i="7"/>
  <c r="B26" i="7"/>
  <c r="C26" i="8"/>
  <c r="I26" i="6"/>
  <c r="F26" i="6"/>
  <c r="K26" i="6" s="1"/>
  <c r="C25" i="8"/>
  <c r="F25" i="6"/>
  <c r="K25" i="6" s="1"/>
  <c r="I25" i="6"/>
  <c r="B25" i="7"/>
  <c r="C24" i="8"/>
  <c r="F24" i="6"/>
  <c r="K24" i="6" s="1"/>
  <c r="I24" i="6"/>
  <c r="B23" i="7"/>
  <c r="C23" i="8"/>
  <c r="F23" i="6"/>
  <c r="K23" i="6" s="1"/>
  <c r="I23" i="6"/>
  <c r="L23" i="6"/>
  <c r="F23" i="8" s="1"/>
  <c r="C22" i="8"/>
  <c r="B22" i="7"/>
  <c r="F22" i="6"/>
  <c r="K22" i="6" s="1"/>
  <c r="I22" i="6"/>
  <c r="J22" i="8"/>
  <c r="D22" i="7"/>
  <c r="B21" i="7"/>
  <c r="C21" i="8"/>
  <c r="I21" i="6"/>
  <c r="F21" i="6"/>
  <c r="K21" i="6" s="1"/>
  <c r="B20" i="7"/>
  <c r="C20" i="8"/>
  <c r="I20" i="6"/>
  <c r="F20" i="6"/>
  <c r="K20" i="6" s="1"/>
  <c r="D20" i="7"/>
  <c r="C20" i="7"/>
  <c r="F20" i="7"/>
  <c r="J20" i="8"/>
  <c r="C19" i="8"/>
  <c r="F19" i="6"/>
  <c r="K19" i="6" s="1"/>
  <c r="I19" i="6"/>
  <c r="C19" i="7"/>
  <c r="D19" i="7"/>
  <c r="J19" i="8"/>
  <c r="F19" i="7"/>
  <c r="C18" i="8"/>
  <c r="B18" i="7"/>
  <c r="I18" i="6"/>
  <c r="F18" i="6"/>
  <c r="K18" i="6" s="1"/>
  <c r="B17" i="7"/>
  <c r="C17" i="8"/>
  <c r="F17" i="6"/>
  <c r="K17" i="6" s="1"/>
  <c r="L17" i="6"/>
  <c r="F17" i="8" s="1"/>
  <c r="I17" i="6"/>
  <c r="B16" i="7"/>
  <c r="F16" i="6"/>
  <c r="K16" i="6" s="1"/>
  <c r="C16" i="8"/>
  <c r="I16" i="6"/>
  <c r="L16" i="6"/>
  <c r="F16" i="8" s="1"/>
  <c r="C15" i="8"/>
  <c r="F15" i="6"/>
  <c r="K15" i="6" s="1"/>
  <c r="B15" i="7"/>
  <c r="L15" i="6"/>
  <c r="F15" i="8" s="1"/>
  <c r="I15" i="6"/>
  <c r="C14" i="8"/>
  <c r="I14" i="6"/>
  <c r="F14" i="6"/>
  <c r="K14" i="6" s="1"/>
  <c r="B14" i="7"/>
  <c r="L14" i="6"/>
  <c r="F14" i="8" s="1"/>
  <c r="J14" i="8"/>
  <c r="F14" i="7"/>
  <c r="L13" i="6"/>
  <c r="F13" i="8" s="1"/>
  <c r="I13" i="6"/>
  <c r="B13" i="7"/>
  <c r="C13" i="8"/>
  <c r="F13" i="6"/>
  <c r="K13" i="6" s="1"/>
  <c r="B12" i="7"/>
  <c r="C12" i="8"/>
  <c r="L12" i="6"/>
  <c r="F12" i="8" s="1"/>
  <c r="I12" i="6"/>
  <c r="F12" i="6"/>
  <c r="K12" i="6" s="1"/>
  <c r="F11" i="6"/>
  <c r="K11" i="6" s="1"/>
  <c r="B11" i="7"/>
  <c r="C46" i="11" s="1"/>
  <c r="C11" i="8"/>
  <c r="B32" i="11" s="1"/>
  <c r="E11" i="8"/>
  <c r="I11" i="6"/>
  <c r="L11" i="6"/>
  <c r="F11" i="8" s="1"/>
  <c r="I10" i="6"/>
  <c r="F10" i="6"/>
  <c r="K10" i="6" s="1"/>
  <c r="B10" i="7"/>
  <c r="C45" i="11" s="1"/>
  <c r="C10" i="8"/>
  <c r="B31" i="11" s="1"/>
  <c r="E10" i="8"/>
  <c r="L10" i="6"/>
  <c r="F10" i="8" s="1"/>
  <c r="I9" i="6"/>
  <c r="L9" i="6"/>
  <c r="F9" i="8" s="1"/>
  <c r="B9" i="7"/>
  <c r="C44" i="11" s="1"/>
  <c r="C9" i="8"/>
  <c r="B30" i="11" s="1"/>
  <c r="F9" i="6"/>
  <c r="K9" i="6" s="1"/>
  <c r="E9" i="8"/>
  <c r="F8" i="6"/>
  <c r="K8" i="6" s="1"/>
  <c r="B8" i="7"/>
  <c r="C43" i="11" s="1"/>
  <c r="C8" i="8"/>
  <c r="B29" i="11" s="1"/>
  <c r="E8" i="8"/>
  <c r="I8" i="6"/>
  <c r="L8" i="6"/>
  <c r="F8" i="8" s="1"/>
  <c r="B7" i="7"/>
  <c r="C42" i="11" s="1"/>
  <c r="C7" i="8"/>
  <c r="B28" i="11" s="1"/>
  <c r="E7" i="8"/>
  <c r="L7" i="6"/>
  <c r="F7" i="8" s="1"/>
  <c r="I7" i="6"/>
  <c r="F7" i="6"/>
  <c r="K7" i="6" s="1"/>
  <c r="I6" i="6"/>
  <c r="L6" i="6"/>
  <c r="F6" i="8" s="1"/>
  <c r="B6" i="7"/>
  <c r="C41" i="11" s="1"/>
  <c r="F6" i="6"/>
  <c r="K6" i="6" s="1"/>
  <c r="C6" i="8"/>
  <c r="B27" i="11" s="1"/>
  <c r="E6" i="8"/>
  <c r="K5" i="6"/>
  <c r="L5" i="6"/>
  <c r="F5" i="8" s="1"/>
  <c r="J5" i="8"/>
  <c r="F5" i="7"/>
  <c r="C5" i="7"/>
  <c r="D40" i="11" s="1"/>
  <c r="D5" i="7"/>
  <c r="B40" i="11" s="1"/>
  <c r="D5" i="8"/>
  <c r="H5" i="8"/>
  <c r="H26" i="11" s="1"/>
  <c r="E4" i="8"/>
  <c r="B4" i="7"/>
  <c r="C39" i="11" s="1"/>
  <c r="F4" i="6"/>
  <c r="K4" i="6" s="1"/>
  <c r="C4" i="8"/>
  <c r="B25" i="11" s="1"/>
  <c r="L4" i="6"/>
  <c r="F4" i="8" s="1"/>
  <c r="I4" i="6"/>
  <c r="E3" i="8"/>
  <c r="B3" i="7"/>
  <c r="C38" i="11" s="1"/>
  <c r="C3" i="8"/>
  <c r="B24" i="11" s="1"/>
  <c r="F3" i="6"/>
  <c r="K3" i="6" s="1"/>
  <c r="I3" i="6"/>
  <c r="L3" i="6"/>
  <c r="F3" i="8" s="1"/>
  <c r="I2" i="6"/>
  <c r="E2" i="8"/>
  <c r="B2" i="7"/>
  <c r="C37" i="11" s="1"/>
  <c r="C2" i="8"/>
  <c r="F2" i="6"/>
  <c r="K2" i="6" s="1"/>
  <c r="F24" i="7" l="1"/>
  <c r="C24" i="7"/>
  <c r="J24" i="8"/>
  <c r="D24" i="7"/>
  <c r="B23" i="11"/>
  <c r="B9" i="11" a="1"/>
  <c r="B9" i="11" s="1"/>
  <c r="A9" i="11" a="1"/>
  <c r="A9" i="11" s="1"/>
  <c r="C25" i="7"/>
  <c r="F25" i="7"/>
  <c r="D14" i="7"/>
  <c r="C14" i="7"/>
  <c r="F18" i="7"/>
  <c r="C18" i="7"/>
  <c r="H19" i="8"/>
  <c r="C22" i="7"/>
  <c r="F22" i="7"/>
  <c r="H22" i="8"/>
  <c r="J25" i="8"/>
  <c r="D25" i="7"/>
  <c r="D24" i="8"/>
  <c r="H24" i="8"/>
  <c r="H20" i="8"/>
  <c r="H18" i="8"/>
  <c r="H14" i="8"/>
  <c r="F26" i="7"/>
  <c r="D26" i="7"/>
  <c r="C26" i="7"/>
  <c r="J26" i="8"/>
  <c r="D26" i="8"/>
  <c r="H26" i="8"/>
  <c r="D25" i="8"/>
  <c r="H25" i="8"/>
  <c r="D23" i="7"/>
  <c r="C23" i="7"/>
  <c r="F23" i="7"/>
  <c r="J23" i="8"/>
  <c r="D23" i="8"/>
  <c r="H23" i="8"/>
  <c r="D22" i="8"/>
  <c r="H22" i="7"/>
  <c r="K22" i="8"/>
  <c r="D21" i="7"/>
  <c r="C21" i="7"/>
  <c r="J21" i="8"/>
  <c r="F21" i="7"/>
  <c r="H21" i="8"/>
  <c r="D21" i="8"/>
  <c r="D20" i="8"/>
  <c r="K20" i="8"/>
  <c r="H20" i="7"/>
  <c r="I20" i="8"/>
  <c r="G20" i="7"/>
  <c r="D19" i="8"/>
  <c r="I19" i="8"/>
  <c r="G19" i="7"/>
  <c r="K19" i="8"/>
  <c r="H19" i="7"/>
  <c r="D18" i="8"/>
  <c r="J18" i="8"/>
  <c r="D18" i="7"/>
  <c r="K18" i="8"/>
  <c r="H18" i="7"/>
  <c r="F17" i="7"/>
  <c r="D17" i="7"/>
  <c r="J17" i="8"/>
  <c r="C17" i="7"/>
  <c r="D17" i="8"/>
  <c r="H17" i="8"/>
  <c r="F16" i="7"/>
  <c r="C16" i="7"/>
  <c r="J16" i="8"/>
  <c r="D16" i="7"/>
  <c r="D16" i="8"/>
  <c r="H16" i="8"/>
  <c r="D15" i="8"/>
  <c r="H15" i="8"/>
  <c r="C15" i="7"/>
  <c r="F15" i="7"/>
  <c r="D15" i="7"/>
  <c r="J15" i="8"/>
  <c r="D14" i="8"/>
  <c r="F13" i="7"/>
  <c r="J13" i="8"/>
  <c r="D13" i="7"/>
  <c r="C13" i="7"/>
  <c r="H13" i="8"/>
  <c r="D13" i="8"/>
  <c r="J12" i="8"/>
  <c r="F12" i="7"/>
  <c r="D12" i="7"/>
  <c r="C12" i="7"/>
  <c r="D12" i="8"/>
  <c r="H12" i="8"/>
  <c r="J11" i="8"/>
  <c r="F11" i="7"/>
  <c r="D11" i="7"/>
  <c r="B46" i="11" s="1"/>
  <c r="C11" i="7"/>
  <c r="D46" i="11" s="1"/>
  <c r="D11" i="8"/>
  <c r="H11" i="8"/>
  <c r="H32" i="11" s="1"/>
  <c r="J10" i="8"/>
  <c r="C10" i="7"/>
  <c r="D45" i="11" s="1"/>
  <c r="D10" i="7"/>
  <c r="B45" i="11" s="1"/>
  <c r="F10" i="7"/>
  <c r="D10" i="8"/>
  <c r="H10" i="8"/>
  <c r="H31" i="11" s="1"/>
  <c r="F9" i="7"/>
  <c r="C9" i="7"/>
  <c r="D44" i="11" s="1"/>
  <c r="J9" i="8"/>
  <c r="D9" i="7"/>
  <c r="B44" i="11" s="1"/>
  <c r="H9" i="8"/>
  <c r="H30" i="11" s="1"/>
  <c r="D9" i="8"/>
  <c r="D8" i="7"/>
  <c r="B43" i="11" s="1"/>
  <c r="J8" i="8"/>
  <c r="F8" i="7"/>
  <c r="C8" i="7"/>
  <c r="D43" i="11" s="1"/>
  <c r="D8" i="8"/>
  <c r="H8" i="8"/>
  <c r="H29" i="11" s="1"/>
  <c r="J7" i="8"/>
  <c r="D7" i="7"/>
  <c r="B42" i="11" s="1"/>
  <c r="C7" i="7"/>
  <c r="D42" i="11" s="1"/>
  <c r="F7" i="7"/>
  <c r="D7" i="8"/>
  <c r="H7" i="8"/>
  <c r="H28" i="11" s="1"/>
  <c r="J6" i="8"/>
  <c r="F6" i="7"/>
  <c r="D6" i="7"/>
  <c r="B41" i="11" s="1"/>
  <c r="C6" i="7"/>
  <c r="D41" i="11" s="1"/>
  <c r="D6" i="8"/>
  <c r="H6" i="8"/>
  <c r="H27" i="11" s="1"/>
  <c r="G5" i="7"/>
  <c r="I5" i="8"/>
  <c r="H5" i="7"/>
  <c r="K5" i="8"/>
  <c r="C4" i="7"/>
  <c r="D39" i="11" s="1"/>
  <c r="F4" i="7"/>
  <c r="D4" i="7"/>
  <c r="B39" i="11" s="1"/>
  <c r="J4" i="8"/>
  <c r="D4" i="8"/>
  <c r="H4" i="8"/>
  <c r="H25" i="11" s="1"/>
  <c r="F3" i="7"/>
  <c r="C3" i="7"/>
  <c r="D38" i="11" s="1"/>
  <c r="J3" i="8"/>
  <c r="D3" i="7"/>
  <c r="B38" i="11" s="1"/>
  <c r="D3" i="8"/>
  <c r="H3" i="8"/>
  <c r="H24" i="11" s="1"/>
  <c r="J2" i="8"/>
  <c r="C2" i="7"/>
  <c r="D37" i="11" s="1"/>
  <c r="F2" i="7"/>
  <c r="D2" i="7"/>
  <c r="B37" i="11" s="1"/>
  <c r="D2" i="8"/>
  <c r="C10" i="9"/>
  <c r="G56" i="11" a="1"/>
  <c r="G56" i="11" s="1"/>
  <c r="B10" i="9"/>
  <c r="H2" i="8"/>
  <c r="K25" i="8" l="1"/>
  <c r="H25" i="7"/>
  <c r="I24" i="8"/>
  <c r="G24" i="7"/>
  <c r="K24" i="8"/>
  <c r="H24" i="7"/>
  <c r="C6" i="11" a="1"/>
  <c r="C6" i="11" s="1"/>
  <c r="H23" i="11"/>
  <c r="B6" i="11"/>
  <c r="A6" i="11"/>
  <c r="I25" i="8"/>
  <c r="G25" i="7"/>
  <c r="H14" i="7"/>
  <c r="I14" i="8"/>
  <c r="K14" i="8"/>
  <c r="G14" i="7"/>
  <c r="I18" i="8"/>
  <c r="G18" i="7"/>
  <c r="I22" i="8"/>
  <c r="G22" i="7"/>
  <c r="K26" i="8"/>
  <c r="H26" i="7"/>
  <c r="I26" i="8"/>
  <c r="G26" i="7"/>
  <c r="K23" i="8"/>
  <c r="H23" i="7"/>
  <c r="I23" i="8"/>
  <c r="G23" i="7"/>
  <c r="K21" i="8"/>
  <c r="H21" i="7"/>
  <c r="I21" i="8"/>
  <c r="G21" i="7"/>
  <c r="K17" i="8"/>
  <c r="H17" i="7"/>
  <c r="G17" i="7"/>
  <c r="I17" i="8"/>
  <c r="I16" i="8"/>
  <c r="G16" i="7"/>
  <c r="K16" i="8"/>
  <c r="H16" i="7"/>
  <c r="I15" i="8"/>
  <c r="G15" i="7"/>
  <c r="K15" i="8"/>
  <c r="H15" i="7"/>
  <c r="K13" i="8"/>
  <c r="H13" i="7"/>
  <c r="G13" i="7"/>
  <c r="I13" i="8"/>
  <c r="K12" i="8"/>
  <c r="H12" i="7"/>
  <c r="I12" i="8"/>
  <c r="G12" i="7"/>
  <c r="K11" i="8"/>
  <c r="H11" i="7"/>
  <c r="G11" i="7"/>
  <c r="I11" i="8"/>
  <c r="I10" i="8"/>
  <c r="G10" i="7"/>
  <c r="H10" i="7"/>
  <c r="K10" i="8"/>
  <c r="G9" i="7"/>
  <c r="I9" i="8"/>
  <c r="H9" i="7"/>
  <c r="K9" i="8"/>
  <c r="K8" i="8"/>
  <c r="H8" i="7"/>
  <c r="I8" i="8"/>
  <c r="G8" i="7"/>
  <c r="K7" i="8"/>
  <c r="H7" i="7"/>
  <c r="I7" i="8"/>
  <c r="G7" i="7"/>
  <c r="K6" i="8"/>
  <c r="H6" i="7"/>
  <c r="I6" i="8"/>
  <c r="G6" i="7"/>
  <c r="I4" i="8"/>
  <c r="G4" i="7"/>
  <c r="H4" i="7"/>
  <c r="K4" i="8"/>
  <c r="I3" i="8"/>
  <c r="G3" i="7"/>
  <c r="H3" i="7"/>
  <c r="K3" i="8"/>
  <c r="G2" i="7"/>
  <c r="I2" i="8"/>
  <c r="K2" i="8"/>
  <c r="H2" i="7"/>
  <c r="B21" i="9"/>
  <c r="B23" i="9" s="1"/>
  <c r="C9" i="11" s="1"/>
  <c r="A1" i="9"/>
  <c r="E6" i="11" s="1"/>
  <c r="B54" i="11"/>
  <c r="B56" i="11"/>
  <c r="B55" i="11"/>
  <c r="B53" i="11"/>
  <c r="D57" i="11"/>
  <c r="B57" i="11"/>
  <c r="D55" i="11"/>
  <c r="C55" i="11"/>
  <c r="C54" i="11"/>
  <c r="D53" i="11"/>
  <c r="G57" i="11"/>
  <c r="D56" i="11"/>
  <c r="C57" i="11"/>
  <c r="C56" i="11"/>
  <c r="D54" i="11"/>
  <c r="C5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<sst xmlns="http://schemas.openxmlformats.org/spreadsheetml/2006/main" count="167" uniqueCount="141">
  <si>
    <t>Currency Code</t>
  </si>
  <si>
    <t>Valuation Date</t>
  </si>
  <si>
    <t>Prev Month End</t>
  </si>
  <si>
    <t>Client Name</t>
  </si>
  <si>
    <t>Business Name</t>
  </si>
  <si>
    <t>Industry</t>
  </si>
  <si>
    <t>Country</t>
  </si>
  <si>
    <t>State/Region</t>
  </si>
  <si>
    <t>City</t>
  </si>
  <si>
    <t>ZIP/Postal Code</t>
  </si>
  <si>
    <t>Product Name</t>
  </si>
  <si>
    <t>Product Description</t>
  </si>
  <si>
    <t>Category</t>
  </si>
  <si>
    <t>Unit Size</t>
  </si>
  <si>
    <t>Positioning</t>
  </si>
  <si>
    <t>Total Cost</t>
  </si>
  <si>
    <t>Base Case (Local)</t>
  </si>
  <si>
    <t>Best Case (Local)</t>
  </si>
  <si>
    <t>Worst Case (Local)</t>
  </si>
  <si>
    <t>Field</t>
  </si>
  <si>
    <t>Value</t>
  </si>
  <si>
    <t>Competitor Range</t>
  </si>
  <si>
    <t>Status</t>
  </si>
  <si>
    <t>Missing COGS</t>
  </si>
  <si>
    <t>COGS</t>
  </si>
  <si>
    <t>Labor Cost</t>
  </si>
  <si>
    <t>Overhead</t>
  </si>
  <si>
    <t>Variable Cost</t>
  </si>
  <si>
    <t>Fixed Cost</t>
  </si>
  <si>
    <t>Target Margin</t>
  </si>
  <si>
    <t>Comp Avg Price</t>
  </si>
  <si>
    <t>Comp Min</t>
  </si>
  <si>
    <t>Comp Max</t>
  </si>
  <si>
    <t>Inflation Rate</t>
  </si>
  <si>
    <t>Wage Growth</t>
  </si>
  <si>
    <t>COL Index</t>
  </si>
  <si>
    <t>Commodity Change</t>
  </si>
  <si>
    <t>Units History</t>
  </si>
  <si>
    <t>Seasonality</t>
  </si>
  <si>
    <t>Product #</t>
  </si>
  <si>
    <t>FX Rate</t>
  </si>
  <si>
    <t>Base Revenue</t>
  </si>
  <si>
    <t>Best Revenue</t>
  </si>
  <si>
    <t>Worst Revenue</t>
  </si>
  <si>
    <t>Margin %</t>
  </si>
  <si>
    <t>PRICING MODEL DASHBOARD</t>
  </si>
  <si>
    <t>KEY PERFORMANCE INDICATORS</t>
  </si>
  <si>
    <t>Average Margin %</t>
  </si>
  <si>
    <t>Products Below Break-Even</t>
  </si>
  <si>
    <t>Product</t>
  </si>
  <si>
    <t>Count</t>
  </si>
  <si>
    <t>Cost-Plus (Local)</t>
  </si>
  <si>
    <t>Position Adjust</t>
  </si>
  <si>
    <t>Comp Price (Local)</t>
  </si>
  <si>
    <t>Inflation Price (Local)</t>
  </si>
  <si>
    <t>Break-Even (Local)</t>
  </si>
  <si>
    <t>Cost-Plus (USD)</t>
  </si>
  <si>
    <t>Comp Price (USD)</t>
  </si>
  <si>
    <t>Inflation Price (USD)</t>
  </si>
  <si>
    <t>Break-Even (USD)</t>
  </si>
  <si>
    <t>Units × Season</t>
  </si>
  <si>
    <t>Recommended (Local)</t>
  </si>
  <si>
    <t>Recommended (USD)</t>
  </si>
  <si>
    <t>Best Case</t>
  </si>
  <si>
    <t>Base Case</t>
  </si>
  <si>
    <t>Worst Case</t>
  </si>
  <si>
    <t>Missing Product Name</t>
  </si>
  <si>
    <t>Has Name</t>
  </si>
  <si>
    <t>Has COGS</t>
  </si>
  <si>
    <t>Has Margin</t>
  </si>
  <si>
    <t>Has Comp Price</t>
  </si>
  <si>
    <t>Has Units</t>
  </si>
  <si>
    <t>⚠️ External Data Fields - Must be filled by external AI engine</t>
  </si>
  <si>
    <t>Multi-Product Pricing Analysis (25 Products)</t>
  </si>
  <si>
    <t>Highest Margin Product</t>
  </si>
  <si>
    <t>Lowest Margin Product</t>
  </si>
  <si>
    <t>Products Above Comp Avg</t>
  </si>
  <si>
    <t>Audit Issues</t>
  </si>
  <si>
    <t>Model Status</t>
  </si>
  <si>
    <t>DATA STATUS</t>
  </si>
  <si>
    <t>Client Info</t>
  </si>
  <si>
    <t>Product Data</t>
  </si>
  <si>
    <t>Market Data</t>
  </si>
  <si>
    <t>CHART DATA (Auto-populated from formulas)</t>
  </si>
  <si>
    <t>Price Comparison (First 10 Products)</t>
  </si>
  <si>
    <t>Recommended</t>
  </si>
  <si>
    <t>Cost-Plus</t>
  </si>
  <si>
    <t>Comp-Based</t>
  </si>
  <si>
    <t>Break-Even</t>
  </si>
  <si>
    <t>Margin % (First 10 Products)</t>
  </si>
  <si>
    <t>Scenario Analysis (First 10 Products)</t>
  </si>
  <si>
    <t>SUMMARY TABLES</t>
  </si>
  <si>
    <t>Top 5 Highest Margin Products</t>
  </si>
  <si>
    <t>Recommended Price</t>
  </si>
  <si>
    <t>Products Needing Attention</t>
  </si>
  <si>
    <t>Issue Type</t>
  </si>
  <si>
    <t>Missing Competitor Price</t>
  </si>
  <si>
    <t>Below Break-Even</t>
  </si>
  <si>
    <t>Negative Margin</t>
  </si>
  <si>
    <t>⚠️ NOTE: All input data (Client Info, Product Data, Market Data, FX Rates) must be populated by your external AI engine.</t>
  </si>
  <si>
    <t>Currency_Code</t>
  </si>
  <si>
    <t>Prev_Month_End_Date</t>
  </si>
  <si>
    <t>FX_Rate_Prev_Month_End</t>
  </si>
  <si>
    <t>Source_URL</t>
  </si>
  <si>
    <t>Timestamp</t>
  </si>
  <si>
    <t>Valuation_Date</t>
  </si>
  <si>
    <t>⚠️ AI-ONLY FIELDS:
• Currency_Code (Col A)
• FX_Rate (Col C)
• Source_URL (Col D)
• Timestamp (Col E)</t>
  </si>
  <si>
    <t>🔴 CRITICAL ERRORS</t>
  </si>
  <si>
    <t>Missing_Currency</t>
  </si>
  <si>
    <t>Missing_FX_Rate</t>
  </si>
  <si>
    <t>Missing_Product_Name</t>
  </si>
  <si>
    <t>Missing_COGS</t>
  </si>
  <si>
    <t>Negative_Recommended_Price</t>
  </si>
  <si>
    <t>🟡 WARNINGS</t>
  </si>
  <si>
    <t>Margin_Out_Of_Range</t>
  </si>
  <si>
    <t>Inflation_Out_Of_Range</t>
  </si>
  <si>
    <t>Competitor_Data_Missing</t>
  </si>
  <si>
    <t>Seasonality_Zero</t>
  </si>
  <si>
    <t>📊 FX DIAGNOSTICS</t>
  </si>
  <si>
    <t>FX Rate Count</t>
  </si>
  <si>
    <t>Missing FX Rates</t>
  </si>
  <si>
    <t>Unique Currencies</t>
  </si>
  <si>
    <t>Valuation Date Set</t>
  </si>
  <si>
    <t>📈 PRODUCT COMPLETENESS</t>
  </si>
  <si>
    <t>Score</t>
  </si>
  <si>
    <t>Products with Name</t>
  </si>
  <si>
    <t>Products with COGS</t>
  </si>
  <si>
    <t>Products with Comp Price</t>
  </si>
  <si>
    <t>Overall Score %</t>
  </si>
  <si>
    <t>📋 SUMMARY</t>
  </si>
  <si>
    <t>Total Critical Errors</t>
  </si>
  <si>
    <t>Total Warnings</t>
  </si>
  <si>
    <t>Total Issues</t>
  </si>
  <si>
    <t>Has Season</t>
  </si>
  <si>
    <t>⚠️ EXTERNAL DATA STATUS — WAITING FOR AI ENGINE</t>
  </si>
  <si>
    <t>The following fields must be populated by your external AI engine:</t>
  </si>
  <si>
    <t>📌 Client_Info: Client_Name, Business_Name, Industry, Country, State, City, ZIP, Currency, Valuation_Date</t>
  </si>
  <si>
    <t>📌 Product_Input: All 25 rows (Cols B-L) - Product names, descriptions, costs, margins, positioning</t>
  </si>
  <si>
    <t>📌 Market_Input: All 25 rows (Cols B-J) - Competitor prices, inflation, wage growth, COL, etc.</t>
  </si>
  <si>
    <t>📌 FX_Rates: Currency_Code, FX_Rate_Prev_Month_End, Source_URL, Timestamp</t>
  </si>
  <si>
    <t>⚙️ Excel handles all formulas, charts, and calculations automatically once data is populated.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</si>
</sst>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&quot;$&quot;#,##0.00"/>
    <numFmt numFmtId="166" formatCode="0.0%"/>
    <numFmt numFmtId="167" formatCode="0.0000"/>
    <numFmt numFmtId="168" formatCode="0.000000"/>
    <numFmt numFmtId="169" formatCode="yyyy\-mm\-dd\ hh:mm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b/>
      <sz val="20"/>
      <color rgb="FF1F4E79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0"/>
      <color rgb="FFC00000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FF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0" fontId="3" fillId="4" borderId="0" xfId="0" applyFont="1" applyFill="1"/>
    <xf numFmtId="165" fontId="0" fillId="3" borderId="0" xfId="0" applyNumberFormat="1" applyFill="1"/>
    <xf numFmtId="166" fontId="0" fillId="2" borderId="0" xfId="0" applyNumberFormat="1" applyFill="1"/>
    <xf numFmtId="3" fontId="0" fillId="2" borderId="0" xfId="0" applyNumberFormat="1" applyFill="1"/>
    <xf numFmtId="2" fontId="0" fillId="2" borderId="0" xfId="0" applyNumberFormat="1" applyFill="1"/>
    <xf numFmtId="9" fontId="0" fillId="3" borderId="0" xfId="0" applyNumberFormat="1" applyFill="1"/>
    <xf numFmtId="167" fontId="0" fillId="3" borderId="0" xfId="0" applyNumberFormat="1" applyFill="1"/>
    <xf numFmtId="166" fontId="0" fillId="3" borderId="0" xfId="0" applyNumberFormat="1" applyFill="1"/>
    <xf numFmtId="0" fontId="3" fillId="5" borderId="0" xfId="0" applyFont="1" applyFill="1"/>
    <xf numFmtId="166" fontId="0" fillId="0" borderId="0" xfId="0" applyNumberFormat="1"/>
    <xf numFmtId="0" fontId="7" fillId="0" borderId="0" xfId="0" applyFont="1"/>
    <xf numFmtId="164" fontId="0" fillId="3" borderId="0" xfId="0" applyNumberFormat="1" applyFill="1"/>
    <xf numFmtId="0" fontId="0" fillId="6" borderId="0" xfId="0" applyFill="1"/>
    <xf numFmtId="4" fontId="0" fillId="2" borderId="0" xfId="0" applyNumberFormat="1" applyFill="1"/>
    <xf numFmtId="4" fontId="0" fillId="3" borderId="0" xfId="0" applyNumberFormat="1" applyFill="1"/>
    <xf numFmtId="0" fontId="3" fillId="7" borderId="0" xfId="0" applyFont="1" applyFill="1"/>
    <xf numFmtId="4" fontId="0" fillId="0" borderId="0" xfId="0" applyNumberFormat="1"/>
    <xf numFmtId="0" fontId="3" fillId="8" borderId="0" xfId="0" applyFont="1" applyFill="1"/>
    <xf numFmtId="3" fontId="0" fillId="3" borderId="0" xfId="0" applyNumberFormat="1" applyFill="1"/>
    <xf numFmtId="0" fontId="1" fillId="6" borderId="0" xfId="0" applyFont="1" applyFill="1"/>
    <xf numFmtId="0" fontId="8" fillId="6" borderId="0" xfId="0" applyFont="1" applyFill="1"/>
    <xf numFmtId="0" fontId="9" fillId="0" borderId="0" xfId="0" applyFont="1"/>
    <xf numFmtId="0" fontId="10" fillId="0" borderId="0" xfId="0" applyFont="1"/>
    <xf numFmtId="0" fontId="1" fillId="11" borderId="0" xfId="0" applyFont="1" applyFill="1"/>
    <xf numFmtId="166" fontId="7" fillId="0" borderId="0" xfId="0" applyNumberFormat="1" applyFont="1"/>
    <xf numFmtId="0" fontId="0" fillId="11" borderId="0" xfId="0" applyFill="1"/>
    <xf numFmtId="0" fontId="1" fillId="12" borderId="0" xfId="0" applyFont="1" applyFill="1"/>
    <xf numFmtId="0" fontId="3" fillId="13" borderId="0" xfId="0" applyFont="1" applyFill="1"/>
    <xf numFmtId="168" fontId="0" fillId="2" borderId="0" xfId="0" applyNumberFormat="1" applyFill="1"/>
    <xf numFmtId="169" fontId="0" fillId="2" borderId="0" xfId="0" applyNumberFormat="1" applyFill="1"/>
    <xf numFmtId="0" fontId="0" fillId="15" borderId="0" xfId="0" applyFill="1"/>
    <xf numFmtId="0" fontId="15" fillId="9" borderId="0" xfId="0" applyFont="1" applyFill="1"/>
    <xf numFmtId="0" fontId="0" fillId="14" borderId="0" xfId="0" applyFill="1"/>
    <xf numFmtId="164" fontId="0" fillId="11" borderId="0" xfId="0" applyNumberFormat="1" applyFill="1"/>
    <xf numFmtId="0" fontId="0" fillId="16" borderId="0" xfId="0" applyFill="1"/>
    <xf numFmtId="4" fontId="0" fillId="16" borderId="0" xfId="0" applyNumberFormat="1" applyFill="1"/>
    <xf numFmtId="0" fontId="3" fillId="17" borderId="0" xfId="0" applyFont="1" applyFill="1"/>
    <xf numFmtId="0" fontId="2" fillId="14" borderId="0" xfId="0" applyFont="1" applyFill="1"/>
    <xf numFmtId="0" fontId="6" fillId="18" borderId="0" xfId="0" applyFont="1" applyFill="1"/>
    <xf numFmtId="0" fontId="11" fillId="10" borderId="0" xfId="0" applyFont="1" applyFill="1"/>
    <xf numFmtId="0" fontId="12" fillId="10" borderId="0" xfId="0" applyFont="1" applyFill="1"/>
    <xf numFmtId="0" fontId="16" fillId="18" borderId="0" xfId="0" applyFont="1" applyFill="1"/>
    <xf numFmtId="0" fontId="13" fillId="0" borderId="0" xfId="0" applyFont="1"/>
    <xf numFmtId="0" fontId="17" fillId="18" borderId="0" xfId="0" applyFont="1" applyFill="1"/>
    <xf numFmtId="0" fontId="4" fillId="0" borderId="0" xfId="0" applyFont="1"/>
    <xf numFmtId="0" fontId="14" fillId="14" borderId="0" xfId="0" applyFont="1" applyFill="1" applyAlignment="1">
      <alignment wrapText="1"/>
    </xf>
    <xf numFmtId="0" fontId="0" fillId="0" borderId="0" xfId="0"/>
    <xf numFmtId="0" fontId="5" fillId="0" borderId="0" xfId="0" applyFont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CCC"/>
        </patternFill>
      </fill>
    </dxf>
    <dxf>
      <font>
        <color rgb="FF000000"/>
      </font>
      <fill>
        <patternFill patternType="solid">
          <fgColor indexed="64"/>
          <bgColor rgb="FFFFA5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</font>
      <fill>
        <patternFill patternType="solid">
          <fgColor indexed="64"/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Comparison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Dashboard!$B$22</c:f>
              <c:strCache>
                <c:ptCount val="1"/>
                <c:pt idx="0">
                  <c:v>Recommended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Dashboard!$A$23:$A$32</c:f>
              <c:strCache>
                <c:ptCount val="10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</c:strCache>
            </c:strRef>
          </c:cat>
          <c:val>
            <c:numRef>
              <c:f>Dashboard!$B$23:$B$32</c:f>
              <c:numCache>
                <c:formatCode>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4-4AB5-8F85-00099C2E9A31}"/>
            </c:ext>
          </c:extLst>
        </c:ser>
        <c:ser>
          <c:idx val="1"/>
          <c:order val="1"/>
          <c:tx>
            <c:strRef>
              <c:f>Dashboard!$C$22</c:f>
              <c:strCache>
                <c:ptCount val="1"/>
                <c:pt idx="0">
                  <c:v>Cost-Plus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Dashboard!$A$23:$A$32</c:f>
              <c:strCache>
                <c:ptCount val="10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</c:strCache>
            </c:strRef>
          </c:cat>
          <c:val>
            <c:numRef>
              <c:f>Dashboard!$C$23:$C$32</c:f>
              <c:numCache>
                <c:formatCode>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74-4AB5-8F85-00099C2E9A31}"/>
            </c:ext>
          </c:extLst>
        </c:ser>
        <c:ser>
          <c:idx val="2"/>
          <c:order val="2"/>
          <c:tx>
            <c:strRef>
              <c:f>Dashboard!$D$22</c:f>
              <c:strCache>
                <c:ptCount val="1"/>
                <c:pt idx="0">
                  <c:v>Comp-Based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Dashboard!$A$23:$A$32</c:f>
              <c:strCache>
                <c:ptCount val="10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</c:strCache>
            </c:strRef>
          </c:cat>
          <c:val>
            <c:numRef>
              <c:f>Dashboard!$D$23:$D$32</c:f>
              <c:numCache>
                <c:formatCode>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74-4AB5-8F85-00099C2E9A31}"/>
            </c:ext>
          </c:extLst>
        </c:ser>
        <c:ser>
          <c:idx val="3"/>
          <c:order val="3"/>
          <c:tx>
            <c:strRef>
              <c:f>Dashboard!$E$22</c:f>
              <c:strCache>
                <c:ptCount val="1"/>
                <c:pt idx="0">
                  <c:v>Break-Even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Dashboard!$A$23:$A$32</c:f>
              <c:strCache>
                <c:ptCount val="10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</c:strCache>
            </c:strRef>
          </c:cat>
          <c:val>
            <c:numRef>
              <c:f>Dashboard!$E$23:$E$32</c:f>
              <c:numCache>
                <c:formatCode>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74-4AB5-8F85-00099C2E9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4103439"/>
        <c:axId val="1044251535"/>
      </c:barChart>
      <c:catAx>
        <c:axId val="145410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251535"/>
        <c:crosses val="autoZero"/>
        <c:auto val="1"/>
        <c:lblAlgn val="ctr"/>
        <c:lblOffset val="100"/>
        <c:noMultiLvlLbl val="0"/>
      </c:catAx>
      <c:valAx>
        <c:axId val="104425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10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 %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Dashboard!$H$22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Dashboard!$G$23:$G$32</c:f>
              <c:strCache>
                <c:ptCount val="10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</c:strCache>
            </c:strRef>
          </c:cat>
          <c:val>
            <c:numRef>
              <c:f>Dashboard!$H$23:$H$32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A-4DAE-A512-53EEBF1E4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6698671"/>
        <c:axId val="1044144495"/>
      </c:barChart>
      <c:catAx>
        <c:axId val="1456698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144495"/>
        <c:crosses val="autoZero"/>
        <c:auto val="1"/>
        <c:lblAlgn val="ctr"/>
        <c:lblOffset val="100"/>
        <c:noMultiLvlLbl val="0"/>
      </c:catAx>
      <c:valAx>
        <c:axId val="1044144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69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Scenario Analysis (Worst/Base/Best)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Dashboard!$B$36</c:f>
              <c:strCache>
                <c:ptCount val="1"/>
                <c:pt idx="0">
                  <c:v>Worst Case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Dashboard!$A$37:$A$46</c:f>
              <c:strCache>
                <c:ptCount val="10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</c:strCache>
            </c:strRef>
          </c:cat>
          <c:val>
            <c:numRef>
              <c:f>Dashboard!$B$37:$B$46</c:f>
              <c:numCache>
                <c:formatCode>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E-49EF-B4EE-84C64D5EFF6E}"/>
            </c:ext>
          </c:extLst>
        </c:ser>
        <c:ser>
          <c:idx val="1"/>
          <c:order val="1"/>
          <c:tx>
            <c:strRef>
              <c:f>Dashboard!$C$36</c:f>
              <c:strCache>
                <c:ptCount val="1"/>
                <c:pt idx="0">
                  <c:v>Base Case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Dashboard!$A$37:$A$46</c:f>
              <c:strCache>
                <c:ptCount val="10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</c:strCache>
            </c:strRef>
          </c:cat>
          <c:val>
            <c:numRef>
              <c:f>Dashboard!$C$37:$C$46</c:f>
              <c:numCache>
                <c:formatCode>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BE-49EF-B4EE-84C64D5EFF6E}"/>
            </c:ext>
          </c:extLst>
        </c:ser>
        <c:ser>
          <c:idx val="2"/>
          <c:order val="2"/>
          <c:tx>
            <c:strRef>
              <c:f>Dashboard!$D$36</c:f>
              <c:strCache>
                <c:ptCount val="1"/>
                <c:pt idx="0">
                  <c:v>Best Case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Dashboard!$A$37:$A$46</c:f>
              <c:strCache>
                <c:ptCount val="10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</c:strCache>
            </c:strRef>
          </c:cat>
          <c:val>
            <c:numRef>
              <c:f>Dashboard!$D$37:$D$46</c:f>
              <c:numCache>
                <c:formatCode>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BE-49EF-B4EE-84C64D5EF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6713055"/>
        <c:axId val="1455434415"/>
      </c:barChart>
      <c:catAx>
        <c:axId val="1456713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434415"/>
        <c:crosses val="autoZero"/>
        <c:auto val="1"/>
        <c:lblAlgn val="ctr"/>
        <c:lblOffset val="100"/>
        <c:noMultiLvlLbl val="0"/>
      </c:catAx>
      <c:valAx>
        <c:axId val="145543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71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9F76A8-9DAE-1765-8957-B38726A3A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</xdr:colOff>
      <xdr:row>3</xdr:row>
      <xdr:rowOff>0</xdr:rowOff>
    </xdr:from>
    <xdr:to>
      <xdr:col>27</xdr:col>
      <xdr:colOff>1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D91808-69FF-581D-0EC1-25F755DEE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12201E-D298-4127-63EC-379199995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26EC7-53BE-4F3B-AB9E-84376F281809}">
  <dimension ref="A1:J61"/>
  <sheetViews>
    <sheetView workbookViewId="0"/>
  </sheetViews>
  <sheetFormatPr defaultRowHeight="14.4" x14ac:dyDescent="0.3"/>
  <cols>
    <col min="1" max="1" width="47.5546875" bestFit="1" customWidth="1"/>
    <col min="2" max="2" width="23.77734375" bestFit="1" customWidth="1"/>
    <col min="3" max="3" width="19.77734375" bestFit="1" customWidth="1"/>
    <col min="4" max="4" width="18.5546875" bestFit="1" customWidth="1"/>
    <col min="5" max="5" width="15.33203125" bestFit="1" customWidth="1"/>
    <col min="6" max="6" width="24" bestFit="1" customWidth="1"/>
    <col min="7" max="7" width="24.33203125" bestFit="1" customWidth="1"/>
    <col min="8" max="8" width="8.44140625" bestFit="1" customWidth="1"/>
  </cols>
  <sheetData>
    <row r="1" spans="1:6" ht="25.8" x14ac:dyDescent="0.5">
      <c r="A1" s="26" t="s">
        <v>45</v>
      </c>
    </row>
    <row r="2" spans="1:6" ht="15.6" x14ac:dyDescent="0.3">
      <c r="A2" s="27" t="s">
        <v>73</v>
      </c>
    </row>
    <row r="4" spans="1:6" ht="18" x14ac:dyDescent="0.35">
      <c r="A4" s="44" t="s">
        <v>46</v>
      </c>
      <c r="B4" s="44"/>
      <c r="C4" s="44"/>
      <c r="D4" s="44"/>
      <c r="E4" s="44"/>
      <c r="F4" s="44"/>
    </row>
    <row r="5" spans="1:6" x14ac:dyDescent="0.3">
      <c r="A5" s="28" t="s">
        <v>47</v>
      </c>
      <c r="B5" s="28" t="s">
        <v>74</v>
      </c>
      <c r="C5" s="28" t="s">
        <v>75</v>
      </c>
      <c r="E5" s="28" t="s">
        <v>78</v>
      </c>
    </row>
    <row r="6" spans="1:6" ht="21" x14ac:dyDescent="0.4">
      <c r="A6" s="29">
        <f>IFERROR(AVERAGE(Outputs!H2:H26),"N/A")</f>
        <v>0</v>
      </c>
      <c r="B6" s="15">
        <f>IFERROR(INDEX(Outputs!B2:B26,MATCH(MAX(Outputs!H2:H26),Outputs!H2:H26,0)),"N/A")</f>
        <v>0</v>
      </c>
      <c r="C6" s="15" cm="1">
        <f t="array" ref="C6">IFERROR(INDEX(Outputs!B2:B26,MATCH(MIN(IF(Outputs!H2:H26&gt;0,Outputs!H2:H26)),Outputs!H2:H26,0)),"N/A")</f>
        <v>0</v>
      </c>
      <c r="E6" s="15" t="str">
        <f>Data_Audit!A1</f>
        <v>❌ MODEL BLOCKED — FIX CRITICAL ERRORS</v>
      </c>
    </row>
    <row r="8" spans="1:6" x14ac:dyDescent="0.3">
      <c r="A8" s="28" t="s">
        <v>76</v>
      </c>
      <c r="B8" s="28" t="s">
        <v>48</v>
      </c>
      <c r="C8" s="28" t="s">
        <v>77</v>
      </c>
    </row>
    <row r="9" spans="1:6" ht="21" x14ac:dyDescent="0.4">
      <c r="A9" s="15" cm="1">
        <f t="array" ref="A9">SUMPRODUCT((Outputs!C2:C26&gt;Market_Input!B2:B26)*(Outputs!C2:C26&gt;0)*(Market_Input!B2:B26&gt;0))</f>
        <v>0</v>
      </c>
      <c r="B9" s="15" cm="1">
        <f t="array" ref="B9">SUMPRODUCT((Outputs!C2:C26&lt;Outputs!E2:E26)*(Outputs!C2:C26&gt;0))</f>
        <v>0</v>
      </c>
      <c r="C9" s="15">
        <f>Data_Audit!B23</f>
        <v>5</v>
      </c>
    </row>
    <row r="11" spans="1:6" ht="18" x14ac:dyDescent="0.35">
      <c r="A11" s="44" t="s">
        <v>79</v>
      </c>
      <c r="B11" s="44"/>
      <c r="C11" s="44"/>
      <c r="D11" s="44"/>
      <c r="E11" s="44"/>
      <c r="F11" s="44"/>
    </row>
    <row r="12" spans="1:6" x14ac:dyDescent="0.3">
      <c r="A12" s="28" t="s">
        <v>19</v>
      </c>
      <c r="B12" s="28" t="s">
        <v>22</v>
      </c>
    </row>
    <row r="13" spans="1:6" x14ac:dyDescent="0.3">
      <c r="A13" t="s">
        <v>80</v>
      </c>
      <c r="B13" t="str">
        <f>IF(Client_Info!B1="","❌ Missing","✅ Filled")</f>
        <v>❌ Missing</v>
      </c>
    </row>
    <row r="14" spans="1:6" x14ac:dyDescent="0.3">
      <c r="A14" t="s">
        <v>81</v>
      </c>
      <c r="B14" t="str">
        <f>IF(COUNTBLANK(Product_Input!B2:B26)=25,"❌ No products","✅ "&amp;(25-COUNTBLANK(Product_Input!B2:B26))&amp;" products")</f>
        <v>❌ No products</v>
      </c>
    </row>
    <row r="15" spans="1:6" x14ac:dyDescent="0.3">
      <c r="A15" t="s">
        <v>82</v>
      </c>
      <c r="B15" t="str">
        <f>IF(COUNTBLANK(Market_Input!B2:B26)=25,"❌ No data","✅ "&amp;(25-COUNTBLANK(Market_Input!B2:B26))&amp;" rows")</f>
        <v>❌ No data</v>
      </c>
    </row>
    <row r="16" spans="1:6" x14ac:dyDescent="0.3">
      <c r="A16" t="s">
        <v>40</v>
      </c>
      <c r="B16" t="str">
        <f>IF(COUNTA(FX_Rates!C2:C13)=0,"❌ No FX","✅ "&amp;COUNTA(FX_Rates!C2:C13)&amp;" rates")</f>
        <v>❌ No FX</v>
      </c>
    </row>
    <row r="17" spans="1:8" x14ac:dyDescent="0.3">
      <c r="A17" t="s">
        <v>1</v>
      </c>
      <c r="B17" t="str">
        <f>IF(FX_Rates!H1="","❌ Not set",TEXT(FX_Rates!H1,"yyyy-mm-dd"))</f>
        <v>❌ Not set</v>
      </c>
    </row>
    <row r="18" spans="1:8" x14ac:dyDescent="0.3">
      <c r="A18" t="s">
        <v>2</v>
      </c>
      <c r="B18" t="str">
        <f>IF(FX_Rates!H1="","❌ N/A",TEXT(EOMONTH(FX_Rates!H1,-1),"yyyy-mm-dd"))</f>
        <v>❌ N/A</v>
      </c>
    </row>
    <row r="20" spans="1:8" ht="15.6" x14ac:dyDescent="0.3">
      <c r="A20" s="45" t="s">
        <v>83</v>
      </c>
      <c r="B20" s="45"/>
      <c r="C20" s="45"/>
      <c r="D20" s="45"/>
      <c r="E20" s="45"/>
      <c r="F20" s="45"/>
    </row>
    <row r="21" spans="1:8" x14ac:dyDescent="0.3">
      <c r="A21" s="1" t="s">
        <v>84</v>
      </c>
      <c r="G21" s="1" t="s">
        <v>89</v>
      </c>
    </row>
    <row r="22" spans="1:8" x14ac:dyDescent="0.3">
      <c r="A22" s="28" t="s">
        <v>49</v>
      </c>
      <c r="B22" s="28" t="s">
        <v>85</v>
      </c>
      <c r="C22" s="28" t="s">
        <v>86</v>
      </c>
      <c r="D22" s="28" t="s">
        <v>87</v>
      </c>
      <c r="E22" s="28" t="s">
        <v>88</v>
      </c>
      <c r="G22" s="28" t="s">
        <v>49</v>
      </c>
      <c r="H22" s="28" t="s">
        <v>44</v>
      </c>
    </row>
    <row r="23" spans="1:8" x14ac:dyDescent="0.3">
      <c r="A23" t="str">
        <f>IF(Product_Input!B2="","Product 1",Product_Input!B2)</f>
        <v>Product 1</v>
      </c>
      <c r="B23" s="21">
        <f>Outputs!C2</f>
        <v>0</v>
      </c>
      <c r="C23" s="21">
        <f>Pricing_Logic!C2</f>
        <v>0</v>
      </c>
      <c r="D23" s="21">
        <f>Pricing_Logic!E2</f>
        <v>0</v>
      </c>
      <c r="E23" s="21">
        <f>Pricing_Logic!G2</f>
        <v>0</v>
      </c>
      <c r="G23" t="str">
        <f>IF(Product_Input!B2="","Product 1",Product_Input!B2)</f>
        <v>Product 1</v>
      </c>
      <c r="H23" s="14">
        <f>Outputs!H2</f>
        <v>0</v>
      </c>
    </row>
    <row r="24" spans="1:8" x14ac:dyDescent="0.3">
      <c r="A24" t="str">
        <f>IF(Product_Input!B3="","Product 2",Product_Input!B3)</f>
        <v>Product 2</v>
      </c>
      <c r="B24" s="21">
        <f>Outputs!C3</f>
        <v>0</v>
      </c>
      <c r="C24" s="21">
        <f>Pricing_Logic!C3</f>
        <v>0</v>
      </c>
      <c r="D24" s="21">
        <f>Pricing_Logic!E3</f>
        <v>0</v>
      </c>
      <c r="E24" s="21">
        <f>Pricing_Logic!G3</f>
        <v>0</v>
      </c>
      <c r="G24" t="str">
        <f>IF(Product_Input!B3="","Product 2",Product_Input!B3)</f>
        <v>Product 2</v>
      </c>
      <c r="H24" s="14">
        <f>Outputs!H3</f>
        <v>0</v>
      </c>
    </row>
    <row r="25" spans="1:8" x14ac:dyDescent="0.3">
      <c r="A25" t="str">
        <f>IF(Product_Input!B4="","Product 3",Product_Input!B4)</f>
        <v>Product 3</v>
      </c>
      <c r="B25" s="21">
        <f>Outputs!C4</f>
        <v>0</v>
      </c>
      <c r="C25" s="21">
        <f>Pricing_Logic!C4</f>
        <v>0</v>
      </c>
      <c r="D25" s="21">
        <f>Pricing_Logic!E4</f>
        <v>0</v>
      </c>
      <c r="E25" s="21">
        <f>Pricing_Logic!G4</f>
        <v>0</v>
      </c>
      <c r="G25" t="str">
        <f>IF(Product_Input!B4="","Product 3",Product_Input!B4)</f>
        <v>Product 3</v>
      </c>
      <c r="H25" s="14">
        <f>Outputs!H4</f>
        <v>0</v>
      </c>
    </row>
    <row r="26" spans="1:8" x14ac:dyDescent="0.3">
      <c r="A26" t="str">
        <f>IF(Product_Input!B5="","Product 4",Product_Input!B5)</f>
        <v>Product 4</v>
      </c>
      <c r="B26" s="21">
        <f>Outputs!C5</f>
        <v>0</v>
      </c>
      <c r="C26" s="21">
        <f>Pricing_Logic!C5</f>
        <v>0</v>
      </c>
      <c r="D26" s="21">
        <f>Pricing_Logic!E5</f>
        <v>0</v>
      </c>
      <c r="E26" s="21">
        <f>Pricing_Logic!G5</f>
        <v>0</v>
      </c>
      <c r="G26" t="str">
        <f>IF(Product_Input!B5="","Product 4",Product_Input!B5)</f>
        <v>Product 4</v>
      </c>
      <c r="H26" s="14">
        <f>Outputs!H5</f>
        <v>0</v>
      </c>
    </row>
    <row r="27" spans="1:8" x14ac:dyDescent="0.3">
      <c r="A27" t="str">
        <f>IF(Product_Input!B6="","Product 5",Product_Input!B6)</f>
        <v>Product 5</v>
      </c>
      <c r="B27" s="21">
        <f>Outputs!C6</f>
        <v>0</v>
      </c>
      <c r="C27" s="21">
        <f>Pricing_Logic!C6</f>
        <v>0</v>
      </c>
      <c r="D27" s="21">
        <f>Pricing_Logic!E6</f>
        <v>0</v>
      </c>
      <c r="E27" s="21">
        <f>Pricing_Logic!G6</f>
        <v>0</v>
      </c>
      <c r="G27" t="str">
        <f>IF(Product_Input!B6="","Product 5",Product_Input!B6)</f>
        <v>Product 5</v>
      </c>
      <c r="H27" s="14">
        <f>Outputs!H6</f>
        <v>0</v>
      </c>
    </row>
    <row r="28" spans="1:8" x14ac:dyDescent="0.3">
      <c r="A28" t="str">
        <f>IF(Product_Input!B7="","Product 6",Product_Input!B7)</f>
        <v>Product 6</v>
      </c>
      <c r="B28" s="21">
        <f>Outputs!C7</f>
        <v>0</v>
      </c>
      <c r="C28" s="21">
        <f>Pricing_Logic!C7</f>
        <v>0</v>
      </c>
      <c r="D28" s="21">
        <f>Pricing_Logic!E7</f>
        <v>0</v>
      </c>
      <c r="E28" s="21">
        <f>Pricing_Logic!G7</f>
        <v>0</v>
      </c>
      <c r="G28" t="str">
        <f>IF(Product_Input!B7="","Product 6",Product_Input!B7)</f>
        <v>Product 6</v>
      </c>
      <c r="H28" s="14">
        <f>Outputs!H7</f>
        <v>0</v>
      </c>
    </row>
    <row r="29" spans="1:8" x14ac:dyDescent="0.3">
      <c r="A29" t="str">
        <f>IF(Product_Input!B8="","Product 7",Product_Input!B8)</f>
        <v>Product 7</v>
      </c>
      <c r="B29" s="21">
        <f>Outputs!C8</f>
        <v>0</v>
      </c>
      <c r="C29" s="21">
        <f>Pricing_Logic!C8</f>
        <v>0</v>
      </c>
      <c r="D29" s="21">
        <f>Pricing_Logic!E8</f>
        <v>0</v>
      </c>
      <c r="E29" s="21">
        <f>Pricing_Logic!G8</f>
        <v>0</v>
      </c>
      <c r="G29" t="str">
        <f>IF(Product_Input!B8="","Product 7",Product_Input!B8)</f>
        <v>Product 7</v>
      </c>
      <c r="H29" s="14">
        <f>Outputs!H8</f>
        <v>0</v>
      </c>
    </row>
    <row r="30" spans="1:8" x14ac:dyDescent="0.3">
      <c r="A30" t="str">
        <f>IF(Product_Input!B9="","Product 8",Product_Input!B9)</f>
        <v>Product 8</v>
      </c>
      <c r="B30" s="21">
        <f>Outputs!C9</f>
        <v>0</v>
      </c>
      <c r="C30" s="21">
        <f>Pricing_Logic!C9</f>
        <v>0</v>
      </c>
      <c r="D30" s="21">
        <f>Pricing_Logic!E9</f>
        <v>0</v>
      </c>
      <c r="E30" s="21">
        <f>Pricing_Logic!G9</f>
        <v>0</v>
      </c>
      <c r="G30" t="str">
        <f>IF(Product_Input!B9="","Product 8",Product_Input!B9)</f>
        <v>Product 8</v>
      </c>
      <c r="H30" s="14">
        <f>Outputs!H9</f>
        <v>0</v>
      </c>
    </row>
    <row r="31" spans="1:8" x14ac:dyDescent="0.3">
      <c r="A31" t="str">
        <f>IF(Product_Input!B10="","Product 9",Product_Input!B10)</f>
        <v>Product 9</v>
      </c>
      <c r="B31" s="21">
        <f>Outputs!C10</f>
        <v>0</v>
      </c>
      <c r="C31" s="21">
        <f>Pricing_Logic!C10</f>
        <v>0</v>
      </c>
      <c r="D31" s="21">
        <f>Pricing_Logic!E10</f>
        <v>0</v>
      </c>
      <c r="E31" s="21">
        <f>Pricing_Logic!G10</f>
        <v>0</v>
      </c>
      <c r="G31" t="str">
        <f>IF(Product_Input!B10="","Product 9",Product_Input!B10)</f>
        <v>Product 9</v>
      </c>
      <c r="H31" s="14">
        <f>Outputs!H10</f>
        <v>0</v>
      </c>
    </row>
    <row r="32" spans="1:8" x14ac:dyDescent="0.3">
      <c r="A32" t="str">
        <f>IF(Product_Input!B11="","Product 10",Product_Input!B11)</f>
        <v>Product 10</v>
      </c>
      <c r="B32" s="21">
        <f>Outputs!C11</f>
        <v>0</v>
      </c>
      <c r="C32" s="21">
        <f>Pricing_Logic!C11</f>
        <v>0</v>
      </c>
      <c r="D32" s="21">
        <f>Pricing_Logic!E11</f>
        <v>0</v>
      </c>
      <c r="E32" s="21">
        <f>Pricing_Logic!G11</f>
        <v>0</v>
      </c>
      <c r="G32" t="str">
        <f>IF(Product_Input!B11="","Product 10",Product_Input!B11)</f>
        <v>Product 10</v>
      </c>
      <c r="H32" s="14">
        <f>Outputs!H11</f>
        <v>0</v>
      </c>
    </row>
    <row r="35" spans="1:4" x14ac:dyDescent="0.3">
      <c r="A35" s="1" t="s">
        <v>90</v>
      </c>
    </row>
    <row r="36" spans="1:4" x14ac:dyDescent="0.3">
      <c r="A36" s="28" t="s">
        <v>49</v>
      </c>
      <c r="B36" s="28" t="s">
        <v>65</v>
      </c>
      <c r="C36" s="28" t="s">
        <v>64</v>
      </c>
      <c r="D36" s="28" t="s">
        <v>63</v>
      </c>
    </row>
    <row r="37" spans="1:4" x14ac:dyDescent="0.3">
      <c r="A37" t="str">
        <f>IF(Product_Input!B2="","Product 1",Product_Input!B2)</f>
        <v>Product 1</v>
      </c>
      <c r="B37" s="21">
        <f>Scenarios!D2</f>
        <v>0</v>
      </c>
      <c r="C37" s="21">
        <f>Scenarios!B2</f>
        <v>0</v>
      </c>
      <c r="D37" s="21">
        <f>Scenarios!C2</f>
        <v>0</v>
      </c>
    </row>
    <row r="38" spans="1:4" x14ac:dyDescent="0.3">
      <c r="A38" t="str">
        <f>IF(Product_Input!B3="","Product 2",Product_Input!B3)</f>
        <v>Product 2</v>
      </c>
      <c r="B38" s="21">
        <f>Scenarios!D3</f>
        <v>0</v>
      </c>
      <c r="C38" s="21">
        <f>Scenarios!B3</f>
        <v>0</v>
      </c>
      <c r="D38" s="21">
        <f>Scenarios!C3</f>
        <v>0</v>
      </c>
    </row>
    <row r="39" spans="1:4" x14ac:dyDescent="0.3">
      <c r="A39" t="str">
        <f>IF(Product_Input!B4="","Product 3",Product_Input!B4)</f>
        <v>Product 3</v>
      </c>
      <c r="B39" s="21">
        <f>Scenarios!D4</f>
        <v>0</v>
      </c>
      <c r="C39" s="21">
        <f>Scenarios!B4</f>
        <v>0</v>
      </c>
      <c r="D39" s="21">
        <f>Scenarios!C4</f>
        <v>0</v>
      </c>
    </row>
    <row r="40" spans="1:4" x14ac:dyDescent="0.3">
      <c r="A40" t="str">
        <f>IF(Product_Input!B5="","Product 4",Product_Input!B5)</f>
        <v>Product 4</v>
      </c>
      <c r="B40" s="21">
        <f>Scenarios!D5</f>
        <v>0</v>
      </c>
      <c r="C40" s="21">
        <f>Scenarios!B5</f>
        <v>0</v>
      </c>
      <c r="D40" s="21">
        <f>Scenarios!C5</f>
        <v>0</v>
      </c>
    </row>
    <row r="41" spans="1:4" x14ac:dyDescent="0.3">
      <c r="A41" t="str">
        <f>IF(Product_Input!B6="","Product 5",Product_Input!B6)</f>
        <v>Product 5</v>
      </c>
      <c r="B41" s="21">
        <f>Scenarios!D6</f>
        <v>0</v>
      </c>
      <c r="C41" s="21">
        <f>Scenarios!B6</f>
        <v>0</v>
      </c>
      <c r="D41" s="21">
        <f>Scenarios!C6</f>
        <v>0</v>
      </c>
    </row>
    <row r="42" spans="1:4" x14ac:dyDescent="0.3">
      <c r="A42" t="str">
        <f>IF(Product_Input!B7="","Product 6",Product_Input!B7)</f>
        <v>Product 6</v>
      </c>
      <c r="B42" s="21">
        <f>Scenarios!D7</f>
        <v>0</v>
      </c>
      <c r="C42" s="21">
        <f>Scenarios!B7</f>
        <v>0</v>
      </c>
      <c r="D42" s="21">
        <f>Scenarios!C7</f>
        <v>0</v>
      </c>
    </row>
    <row r="43" spans="1:4" x14ac:dyDescent="0.3">
      <c r="A43" t="str">
        <f>IF(Product_Input!B8="","Product 7",Product_Input!B8)</f>
        <v>Product 7</v>
      </c>
      <c r="B43" s="21">
        <f>Scenarios!D8</f>
        <v>0</v>
      </c>
      <c r="C43" s="21">
        <f>Scenarios!B8</f>
        <v>0</v>
      </c>
      <c r="D43" s="21">
        <f>Scenarios!C8</f>
        <v>0</v>
      </c>
    </row>
    <row r="44" spans="1:4" x14ac:dyDescent="0.3">
      <c r="A44" t="str">
        <f>IF(Product_Input!B9="","Product 8",Product_Input!B9)</f>
        <v>Product 8</v>
      </c>
      <c r="B44" s="21">
        <f>Scenarios!D9</f>
        <v>0</v>
      </c>
      <c r="C44" s="21">
        <f>Scenarios!B9</f>
        <v>0</v>
      </c>
      <c r="D44" s="21">
        <f>Scenarios!C9</f>
        <v>0</v>
      </c>
    </row>
    <row r="45" spans="1:4" x14ac:dyDescent="0.3">
      <c r="A45" t="str">
        <f>IF(Product_Input!B10="","Product 9",Product_Input!B10)</f>
        <v>Product 9</v>
      </c>
      <c r="B45" s="21">
        <f>Scenarios!D10</f>
        <v>0</v>
      </c>
      <c r="C45" s="21">
        <f>Scenarios!B10</f>
        <v>0</v>
      </c>
      <c r="D45" s="21">
        <f>Scenarios!C10</f>
        <v>0</v>
      </c>
    </row>
    <row r="46" spans="1:4" x14ac:dyDescent="0.3">
      <c r="A46" t="str">
        <f>IF(Product_Input!B11="","Product 10",Product_Input!B11)</f>
        <v>Product 10</v>
      </c>
      <c r="B46" s="21">
        <f>Scenarios!D11</f>
        <v>0</v>
      </c>
      <c r="C46" s="21">
        <f>Scenarios!B11</f>
        <v>0</v>
      </c>
      <c r="D46" s="21">
        <f>Scenarios!C11</f>
        <v>0</v>
      </c>
    </row>
    <row r="49" spans="1:10" ht="18" x14ac:dyDescent="0.35">
      <c r="A49" s="44" t="s">
        <v>91</v>
      </c>
      <c r="B49" s="44"/>
      <c r="C49" s="44"/>
      <c r="D49" s="44"/>
      <c r="E49" s="44"/>
      <c r="F49" s="44"/>
    </row>
    <row r="51" spans="1:10" x14ac:dyDescent="0.3">
      <c r="A51" s="1" t="s">
        <v>92</v>
      </c>
      <c r="F51" s="1" t="s">
        <v>94</v>
      </c>
    </row>
    <row r="52" spans="1:10" ht="15.6" x14ac:dyDescent="0.3">
      <c r="A52" s="42" t="s">
        <v>134</v>
      </c>
      <c r="B52" s="31" t="s">
        <v>49</v>
      </c>
      <c r="C52" s="31" t="s">
        <v>44</v>
      </c>
      <c r="D52" s="31" t="s">
        <v>93</v>
      </c>
      <c r="F52" s="32" t="s">
        <v>95</v>
      </c>
      <c r="G52" s="32" t="s">
        <v>50</v>
      </c>
    </row>
    <row r="53" spans="1:10" x14ac:dyDescent="0.3">
      <c r="A53">
        <v>1</v>
      </c>
      <c r="B53">
        <f>IFERROR(INDEX(Outputs!B2:B26,MATCH(LARGE(Outputs!H2:H26,1),Outputs!H2:H26,0)),"N/A")</f>
        <v>0</v>
      </c>
      <c r="C53" s="14">
        <f>IFERROR(LARGE(Outputs!H2:H26,1),"N/A")</f>
        <v>0</v>
      </c>
      <c r="D53" s="21">
        <f>IFERROR(INDEX(Outputs!C2:C26,MATCH(LARGE(Outputs!H2:H26,1),Outputs!H2:H26,0)),"N/A")</f>
        <v>0</v>
      </c>
      <c r="F53" t="s">
        <v>66</v>
      </c>
      <c r="G53">
        <f>COUNTIF(Product_Input!B2:B26,"")</f>
        <v>25</v>
      </c>
    </row>
    <row r="54" spans="1:10" x14ac:dyDescent="0.3">
      <c r="A54" s="43" t="s">
        <v>135</v>
      </c>
      <c r="B54">
        <f>IFERROR(INDEX(Outputs!B2:B26,MATCH(LARGE(Outputs!H2:H26,2),Outputs!H2:H26,0)),"N/A")</f>
        <v>0</v>
      </c>
      <c r="C54" s="14">
        <f>IFERROR(LARGE(Outputs!H2:H26,2),"N/A")</f>
        <v>0</v>
      </c>
      <c r="D54" s="21">
        <f>IFERROR(INDEX(Outputs!C2:C26,MATCH(LARGE(Outputs!H2:H26,2),Outputs!H2:H26,0)),"N/A")</f>
        <v>0</v>
      </c>
      <c r="F54" t="s">
        <v>23</v>
      </c>
      <c r="G54">
        <f>COUNTIF(Product_Input!F2:F26,"")</f>
        <v>25</v>
      </c>
    </row>
    <row r="55" spans="1:10" x14ac:dyDescent="0.3">
      <c r="A55" s="43">
        <v>3</v>
      </c>
      <c r="B55">
        <f>IFERROR(INDEX(Outputs!B2:B26,MATCH(LARGE(Outputs!H2:H26,3),Outputs!H2:H26,0)),"N/A")</f>
        <v>0</v>
      </c>
      <c r="C55" s="14">
        <f>IFERROR(LARGE(Outputs!H2:H26,3),"N/A")</f>
        <v>0</v>
      </c>
      <c r="D55" s="21">
        <f>IFERROR(INDEX(Outputs!C2:C26,MATCH(LARGE(Outputs!H2:H26,3),Outputs!H2:H26,0)),"N/A")</f>
        <v>0</v>
      </c>
      <c r="F55" t="s">
        <v>96</v>
      </c>
      <c r="G55">
        <f>COUNTIF(Market_Input!B2:B26,"")</f>
        <v>25</v>
      </c>
    </row>
    <row r="56" spans="1:10" x14ac:dyDescent="0.3">
      <c r="A56" s="43" t="s">
        <v>136</v>
      </c>
      <c r="B56">
        <f>IFERROR(INDEX(Outputs!B2:B26,MATCH(LARGE(Outputs!H2:H26,4),Outputs!H2:H26,0)),"N/A")</f>
        <v>0</v>
      </c>
      <c r="C56" s="14">
        <f>IFERROR(LARGE(Outputs!H2:H26,4),"N/A")</f>
        <v>0</v>
      </c>
      <c r="D56" s="21">
        <f>IFERROR(INDEX(Outputs!C2:C26,MATCH(LARGE(Outputs!H2:H26,4),Outputs!H2:H26,0)),"N/A")</f>
        <v>0</v>
      </c>
      <c r="F56" t="s">
        <v>97</v>
      </c>
      <c r="G56" cm="1">
        <f t="array" ref="G56">SUMPRODUCT((Outputs!C2:C26&lt;Outputs!E2:E26)*(Outputs!C2:C26&gt;0)*1)</f>
        <v>0</v>
      </c>
    </row>
    <row r="57" spans="1:10" x14ac:dyDescent="0.3">
      <c r="A57" s="43" t="s">
        <v>137</v>
      </c>
      <c r="B57">
        <f>IFERROR(INDEX(Outputs!B2:B26,MATCH(LARGE(Outputs!H2:H26,5),Outputs!H2:H26,0)),"N/A")</f>
        <v>0</v>
      </c>
      <c r="C57" s="14">
        <f>IFERROR(LARGE(Outputs!H2:H26,5),"N/A")</f>
        <v>0</v>
      </c>
      <c r="D57" s="21">
        <f>IFERROR(INDEX(Outputs!C2:C26,MATCH(LARGE(Outputs!H2:H26,5),Outputs!H2:H26,0)),"N/A")</f>
        <v>0</v>
      </c>
      <c r="F57" t="s">
        <v>98</v>
      </c>
      <c r="G57">
        <f>COUNTIF(Outputs!H2:H26,"&lt;0")</f>
        <v>0</v>
      </c>
    </row>
    <row r="58" spans="1:10" x14ac:dyDescent="0.3">
      <c r="A58" s="43" t="s">
        <v>138</v>
      </c>
    </row>
    <row r="59" spans="1:10" x14ac:dyDescent="0.3">
      <c r="A59" s="43" t="s">
        <v>139</v>
      </c>
    </row>
    <row r="60" spans="1:10" x14ac:dyDescent="0.3">
      <c r="A60" s="46" t="s">
        <v>99</v>
      </c>
      <c r="B60" s="47"/>
      <c r="C60" s="47"/>
      <c r="D60" s="47"/>
      <c r="E60" s="47"/>
      <c r="F60" s="47"/>
      <c r="G60" s="47"/>
      <c r="H60" s="47"/>
      <c r="I60" s="47"/>
      <c r="J60" s="47"/>
    </row>
    <row r="61" spans="1:10" x14ac:dyDescent="0.3">
      <c r="A61" s="48" t="s">
        <v>140</v>
      </c>
      <c r="B61" s="49"/>
      <c r="C61" s="49"/>
      <c r="D61" s="49"/>
      <c r="E61" s="49"/>
      <c r="F61" s="49"/>
      <c r="G61" s="49"/>
      <c r="H61" s="49"/>
      <c r="I61" s="49"/>
      <c r="J61" s="49"/>
    </row>
  </sheetData>
  <mergeCells count="6">
    <mergeCell ref="A61:J61"/>
    <mergeCell ref="A4:F4"/>
    <mergeCell ref="A11:F11"/>
    <mergeCell ref="A20:F20"/>
    <mergeCell ref="A49:F49"/>
    <mergeCell ref="A60:J60"/>
  </mergeCells>
  <conditionalFormatting sqref="G53:G57">
    <cfRule type="expression" dxfId="7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79D27-EDAC-4FFB-8B1D-5A141E9E0FE0}">
  <dimension ref="A1:B10"/>
  <sheetViews>
    <sheetView tabSelected="1" workbookViewId="0"/>
  </sheetViews>
  <sheetFormatPr defaultRowHeight="14.4" x14ac:dyDescent="0.3"/>
  <cols>
    <col min="1" max="1" width="51.5546875" bestFit="1" customWidth="1"/>
    <col min="2" max="2" width="27.77734375" customWidth="1"/>
  </cols>
  <sheetData>
    <row r="1" spans="1:2" x14ac:dyDescent="0.3">
      <c r="A1" s="24" t="s">
        <v>3</v>
      </c>
      <c r="B1" s="2"/>
    </row>
    <row r="2" spans="1:2" x14ac:dyDescent="0.3">
      <c r="A2" s="24" t="s">
        <v>4</v>
      </c>
      <c r="B2" s="2"/>
    </row>
    <row r="3" spans="1:2" x14ac:dyDescent="0.3">
      <c r="A3" s="24" t="s">
        <v>5</v>
      </c>
      <c r="B3" s="2"/>
    </row>
    <row r="4" spans="1:2" x14ac:dyDescent="0.3">
      <c r="A4" s="24" t="s">
        <v>6</v>
      </c>
      <c r="B4" s="2"/>
    </row>
    <row r="5" spans="1:2" x14ac:dyDescent="0.3">
      <c r="A5" s="24" t="s">
        <v>7</v>
      </c>
      <c r="B5" s="2"/>
    </row>
    <row r="6" spans="1:2" x14ac:dyDescent="0.3">
      <c r="A6" s="24" t="s">
        <v>8</v>
      </c>
      <c r="B6" s="2"/>
    </row>
    <row r="7" spans="1:2" x14ac:dyDescent="0.3">
      <c r="A7" s="24" t="s">
        <v>9</v>
      </c>
      <c r="B7" s="2"/>
    </row>
    <row r="8" spans="1:2" x14ac:dyDescent="0.3">
      <c r="A8" s="24" t="s">
        <v>0</v>
      </c>
      <c r="B8" s="2"/>
    </row>
    <row r="10" spans="1:2" x14ac:dyDescent="0.3">
      <c r="A10" s="25" t="s">
        <v>72</v>
      </c>
    </row>
  </sheetData>
  <dataValidations count="2">
    <dataValidation type="list" allowBlank="1" showInputMessage="1" showErrorMessage="1" sqref="B3" xr:uid="{5696402D-1918-4EA1-80A5-3BE034BD369A}">
      <formula1>"Retail,Food,Manufacturing,Services,Wholesale,Digital,Other"</formula1>
    </dataValidation>
    <dataValidation type="list" allowBlank="1" showInputMessage="1" showErrorMessage="1" sqref="B4 B8" xr:uid="{AB35B4F5-9C2A-4067-9E59-A90DF19ED62E}">
      <formula1>FX_Code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38AB-063B-44AF-85EA-9C2D5A83277C}">
  <dimension ref="A1:M26"/>
  <sheetViews>
    <sheetView workbookViewId="0"/>
  </sheetViews>
  <sheetFormatPr defaultRowHeight="14.4" x14ac:dyDescent="0.3"/>
  <cols>
    <col min="1" max="1" width="37" customWidth="1"/>
    <col min="2" max="2" width="27.77734375" customWidth="1"/>
  </cols>
  <sheetData>
    <row r="1" spans="1:13" x14ac:dyDescent="0.3">
      <c r="A1" s="5" t="s">
        <v>39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14</v>
      </c>
      <c r="M1" s="5" t="s">
        <v>15</v>
      </c>
    </row>
    <row r="2" spans="1:13" x14ac:dyDescent="0.3">
      <c r="A2" s="17">
        <v>1</v>
      </c>
      <c r="B2" s="2"/>
      <c r="C2" s="2"/>
      <c r="D2" s="2"/>
      <c r="E2" s="2"/>
      <c r="F2" s="18"/>
      <c r="G2" s="18"/>
      <c r="H2" s="18"/>
      <c r="I2" s="18"/>
      <c r="J2" s="18"/>
      <c r="K2" s="7"/>
      <c r="L2" s="2"/>
      <c r="M2" s="19">
        <f t="shared" ref="M2:M26" si="0">IF(F2="",0,F2+G2+H2+I2+J2)</f>
        <v>0</v>
      </c>
    </row>
    <row r="3" spans="1:13" x14ac:dyDescent="0.3">
      <c r="A3" s="17">
        <v>2</v>
      </c>
      <c r="B3" s="2"/>
      <c r="C3" s="2"/>
      <c r="D3" s="2"/>
      <c r="E3" s="2"/>
      <c r="F3" s="18"/>
      <c r="G3" s="18"/>
      <c r="H3" s="18"/>
      <c r="I3" s="18"/>
      <c r="J3" s="18"/>
      <c r="K3" s="7"/>
      <c r="L3" s="2"/>
      <c r="M3" s="19">
        <f t="shared" si="0"/>
        <v>0</v>
      </c>
    </row>
    <row r="4" spans="1:13" x14ac:dyDescent="0.3">
      <c r="A4" s="17">
        <v>3</v>
      </c>
      <c r="B4" s="2"/>
      <c r="C4" s="2"/>
      <c r="D4" s="2"/>
      <c r="E4" s="2"/>
      <c r="F4" s="18"/>
      <c r="G4" s="18"/>
      <c r="H4" s="18"/>
      <c r="I4" s="18"/>
      <c r="J4" s="18"/>
      <c r="K4" s="7"/>
      <c r="L4" s="2"/>
      <c r="M4" s="19">
        <f t="shared" si="0"/>
        <v>0</v>
      </c>
    </row>
    <row r="5" spans="1:13" x14ac:dyDescent="0.3">
      <c r="A5" s="17">
        <v>4</v>
      </c>
      <c r="B5" s="2"/>
      <c r="C5" s="2"/>
      <c r="D5" s="2"/>
      <c r="E5" s="2"/>
      <c r="F5" s="18"/>
      <c r="G5" s="18"/>
      <c r="H5" s="18"/>
      <c r="I5" s="18"/>
      <c r="J5" s="18"/>
      <c r="K5" s="7"/>
      <c r="L5" s="2"/>
      <c r="M5" s="19">
        <f t="shared" si="0"/>
        <v>0</v>
      </c>
    </row>
    <row r="6" spans="1:13" x14ac:dyDescent="0.3">
      <c r="A6" s="17">
        <v>5</v>
      </c>
      <c r="B6" s="2"/>
      <c r="C6" s="2"/>
      <c r="D6" s="2"/>
      <c r="E6" s="2"/>
      <c r="F6" s="18"/>
      <c r="G6" s="18"/>
      <c r="H6" s="18"/>
      <c r="I6" s="18"/>
      <c r="J6" s="18"/>
      <c r="K6" s="7"/>
      <c r="L6" s="2"/>
      <c r="M6" s="19">
        <f t="shared" si="0"/>
        <v>0</v>
      </c>
    </row>
    <row r="7" spans="1:13" x14ac:dyDescent="0.3">
      <c r="A7" s="17">
        <v>6</v>
      </c>
      <c r="B7" s="2"/>
      <c r="C7" s="2"/>
      <c r="D7" s="2"/>
      <c r="E7" s="2"/>
      <c r="F7" s="18"/>
      <c r="G7" s="18"/>
      <c r="H7" s="18"/>
      <c r="I7" s="18"/>
      <c r="J7" s="18"/>
      <c r="K7" s="7"/>
      <c r="L7" s="2"/>
      <c r="M7" s="19">
        <f t="shared" si="0"/>
        <v>0</v>
      </c>
    </row>
    <row r="8" spans="1:13" x14ac:dyDescent="0.3">
      <c r="A8" s="17">
        <v>7</v>
      </c>
      <c r="B8" s="2"/>
      <c r="C8" s="2"/>
      <c r="D8" s="2"/>
      <c r="E8" s="2"/>
      <c r="F8" s="18"/>
      <c r="G8" s="18"/>
      <c r="H8" s="18"/>
      <c r="I8" s="18"/>
      <c r="J8" s="18"/>
      <c r="K8" s="7"/>
      <c r="L8" s="2"/>
      <c r="M8" s="19">
        <f t="shared" si="0"/>
        <v>0</v>
      </c>
    </row>
    <row r="9" spans="1:13" x14ac:dyDescent="0.3">
      <c r="A9" s="17">
        <v>8</v>
      </c>
      <c r="B9" s="2"/>
      <c r="C9" s="2"/>
      <c r="D9" s="2"/>
      <c r="E9" s="2"/>
      <c r="F9" s="18"/>
      <c r="G9" s="18"/>
      <c r="H9" s="18"/>
      <c r="I9" s="18"/>
      <c r="J9" s="18"/>
      <c r="K9" s="7"/>
      <c r="L9" s="2"/>
      <c r="M9" s="19">
        <f t="shared" si="0"/>
        <v>0</v>
      </c>
    </row>
    <row r="10" spans="1:13" x14ac:dyDescent="0.3">
      <c r="A10" s="17">
        <v>9</v>
      </c>
      <c r="B10" s="2"/>
      <c r="C10" s="2"/>
      <c r="D10" s="2"/>
      <c r="E10" s="2"/>
      <c r="F10" s="18"/>
      <c r="G10" s="18"/>
      <c r="H10" s="18"/>
      <c r="I10" s="18"/>
      <c r="J10" s="18"/>
      <c r="K10" s="7"/>
      <c r="L10" s="2"/>
      <c r="M10" s="19">
        <f t="shared" si="0"/>
        <v>0</v>
      </c>
    </row>
    <row r="11" spans="1:13" x14ac:dyDescent="0.3">
      <c r="A11" s="17">
        <v>10</v>
      </c>
      <c r="B11" s="2"/>
      <c r="C11" s="2"/>
      <c r="D11" s="2"/>
      <c r="E11" s="2"/>
      <c r="F11" s="18"/>
      <c r="G11" s="18"/>
      <c r="H11" s="18"/>
      <c r="I11" s="18"/>
      <c r="J11" s="18"/>
      <c r="K11" s="7"/>
      <c r="L11" s="2"/>
      <c r="M11" s="19">
        <f t="shared" si="0"/>
        <v>0</v>
      </c>
    </row>
    <row r="12" spans="1:13" x14ac:dyDescent="0.3">
      <c r="A12" s="17">
        <v>11</v>
      </c>
      <c r="B12" s="2"/>
      <c r="C12" s="2"/>
      <c r="D12" s="2"/>
      <c r="E12" s="2"/>
      <c r="F12" s="18"/>
      <c r="G12" s="18"/>
      <c r="H12" s="18"/>
      <c r="I12" s="18"/>
      <c r="J12" s="18"/>
      <c r="K12" s="7"/>
      <c r="L12" s="2"/>
      <c r="M12" s="19">
        <f t="shared" si="0"/>
        <v>0</v>
      </c>
    </row>
    <row r="13" spans="1:13" x14ac:dyDescent="0.3">
      <c r="A13" s="17">
        <v>12</v>
      </c>
      <c r="B13" s="2"/>
      <c r="C13" s="2"/>
      <c r="D13" s="2"/>
      <c r="E13" s="2"/>
      <c r="F13" s="18"/>
      <c r="G13" s="18"/>
      <c r="H13" s="18"/>
      <c r="I13" s="18"/>
      <c r="J13" s="18"/>
      <c r="K13" s="7"/>
      <c r="L13" s="2"/>
      <c r="M13" s="19">
        <f t="shared" si="0"/>
        <v>0</v>
      </c>
    </row>
    <row r="14" spans="1:13" x14ac:dyDescent="0.3">
      <c r="A14" s="17">
        <v>13</v>
      </c>
      <c r="B14" s="2"/>
      <c r="C14" s="2"/>
      <c r="D14" s="2"/>
      <c r="E14" s="2"/>
      <c r="F14" s="18"/>
      <c r="G14" s="18"/>
      <c r="H14" s="18"/>
      <c r="I14" s="18"/>
      <c r="J14" s="18"/>
      <c r="K14" s="7"/>
      <c r="L14" s="2"/>
      <c r="M14" s="19">
        <f t="shared" si="0"/>
        <v>0</v>
      </c>
    </row>
    <row r="15" spans="1:13" x14ac:dyDescent="0.3">
      <c r="A15" s="17">
        <v>14</v>
      </c>
      <c r="B15" s="2"/>
      <c r="C15" s="2"/>
      <c r="D15" s="2"/>
      <c r="E15" s="2"/>
      <c r="F15" s="18"/>
      <c r="G15" s="18"/>
      <c r="H15" s="18"/>
      <c r="I15" s="18"/>
      <c r="J15" s="18"/>
      <c r="K15" s="7"/>
      <c r="L15" s="2"/>
      <c r="M15" s="19">
        <f t="shared" si="0"/>
        <v>0</v>
      </c>
    </row>
    <row r="16" spans="1:13" x14ac:dyDescent="0.3">
      <c r="A16" s="17">
        <v>15</v>
      </c>
      <c r="B16" s="2"/>
      <c r="C16" s="2"/>
      <c r="D16" s="2"/>
      <c r="E16" s="2"/>
      <c r="F16" s="18"/>
      <c r="G16" s="18"/>
      <c r="H16" s="18"/>
      <c r="I16" s="18"/>
      <c r="J16" s="18"/>
      <c r="K16" s="7"/>
      <c r="L16" s="2"/>
      <c r="M16" s="19">
        <f t="shared" si="0"/>
        <v>0</v>
      </c>
    </row>
    <row r="17" spans="1:13" x14ac:dyDescent="0.3">
      <c r="A17" s="17">
        <v>16</v>
      </c>
      <c r="B17" s="2"/>
      <c r="C17" s="2"/>
      <c r="D17" s="2"/>
      <c r="E17" s="2"/>
      <c r="F17" s="18"/>
      <c r="G17" s="18"/>
      <c r="H17" s="18"/>
      <c r="I17" s="18"/>
      <c r="J17" s="18"/>
      <c r="K17" s="7"/>
      <c r="L17" s="2"/>
      <c r="M17" s="19">
        <f t="shared" si="0"/>
        <v>0</v>
      </c>
    </row>
    <row r="18" spans="1:13" x14ac:dyDescent="0.3">
      <c r="A18" s="17">
        <v>17</v>
      </c>
      <c r="B18" s="2"/>
      <c r="C18" s="2"/>
      <c r="D18" s="2"/>
      <c r="E18" s="2"/>
      <c r="F18" s="18"/>
      <c r="G18" s="18"/>
      <c r="H18" s="18"/>
      <c r="I18" s="18"/>
      <c r="J18" s="18"/>
      <c r="K18" s="7"/>
      <c r="L18" s="2"/>
      <c r="M18" s="19">
        <f t="shared" si="0"/>
        <v>0</v>
      </c>
    </row>
    <row r="19" spans="1:13" x14ac:dyDescent="0.3">
      <c r="A19" s="17">
        <v>18</v>
      </c>
      <c r="B19" s="2"/>
      <c r="C19" s="2"/>
      <c r="D19" s="2"/>
      <c r="E19" s="2"/>
      <c r="F19" s="18"/>
      <c r="G19" s="18"/>
      <c r="H19" s="18"/>
      <c r="I19" s="18"/>
      <c r="J19" s="18"/>
      <c r="K19" s="7"/>
      <c r="L19" s="2"/>
      <c r="M19" s="19">
        <f t="shared" si="0"/>
        <v>0</v>
      </c>
    </row>
    <row r="20" spans="1:13" x14ac:dyDescent="0.3">
      <c r="A20" s="17">
        <v>19</v>
      </c>
      <c r="B20" s="2"/>
      <c r="C20" s="2"/>
      <c r="D20" s="2"/>
      <c r="E20" s="2"/>
      <c r="F20" s="18"/>
      <c r="G20" s="18"/>
      <c r="H20" s="18"/>
      <c r="I20" s="18"/>
      <c r="J20" s="18"/>
      <c r="K20" s="7"/>
      <c r="L20" s="2"/>
      <c r="M20" s="19">
        <f t="shared" si="0"/>
        <v>0</v>
      </c>
    </row>
    <row r="21" spans="1:13" x14ac:dyDescent="0.3">
      <c r="A21" s="17">
        <v>20</v>
      </c>
      <c r="B21" s="2"/>
      <c r="C21" s="2"/>
      <c r="D21" s="2"/>
      <c r="E21" s="2"/>
      <c r="F21" s="18"/>
      <c r="G21" s="18"/>
      <c r="H21" s="18"/>
      <c r="I21" s="18"/>
      <c r="J21" s="18"/>
      <c r="K21" s="7"/>
      <c r="L21" s="2"/>
      <c r="M21" s="19">
        <f t="shared" si="0"/>
        <v>0</v>
      </c>
    </row>
    <row r="22" spans="1:13" x14ac:dyDescent="0.3">
      <c r="A22" s="17">
        <v>21</v>
      </c>
      <c r="B22" s="2"/>
      <c r="C22" s="2"/>
      <c r="D22" s="2"/>
      <c r="E22" s="2"/>
      <c r="F22" s="18"/>
      <c r="G22" s="18"/>
      <c r="H22" s="18"/>
      <c r="I22" s="18"/>
      <c r="J22" s="18"/>
      <c r="K22" s="7"/>
      <c r="L22" s="2"/>
      <c r="M22" s="19">
        <f t="shared" si="0"/>
        <v>0</v>
      </c>
    </row>
    <row r="23" spans="1:13" x14ac:dyDescent="0.3">
      <c r="A23" s="17">
        <v>22</v>
      </c>
      <c r="B23" s="2"/>
      <c r="C23" s="2"/>
      <c r="D23" s="2"/>
      <c r="E23" s="2"/>
      <c r="F23" s="18"/>
      <c r="G23" s="18"/>
      <c r="H23" s="18"/>
      <c r="I23" s="18"/>
      <c r="J23" s="18"/>
      <c r="K23" s="7"/>
      <c r="L23" s="2"/>
      <c r="M23" s="19">
        <f t="shared" si="0"/>
        <v>0</v>
      </c>
    </row>
    <row r="24" spans="1:13" x14ac:dyDescent="0.3">
      <c r="A24" s="17">
        <v>23</v>
      </c>
      <c r="B24" s="2"/>
      <c r="C24" s="2"/>
      <c r="D24" s="2"/>
      <c r="E24" s="2"/>
      <c r="F24" s="18"/>
      <c r="G24" s="18"/>
      <c r="H24" s="18"/>
      <c r="I24" s="18"/>
      <c r="J24" s="18"/>
      <c r="K24" s="7"/>
      <c r="L24" s="2"/>
      <c r="M24" s="19">
        <f t="shared" si="0"/>
        <v>0</v>
      </c>
    </row>
    <row r="25" spans="1:13" x14ac:dyDescent="0.3">
      <c r="A25" s="17">
        <v>24</v>
      </c>
      <c r="B25" s="2"/>
      <c r="C25" s="2"/>
      <c r="D25" s="2"/>
      <c r="E25" s="2"/>
      <c r="F25" s="18"/>
      <c r="G25" s="18"/>
      <c r="H25" s="18"/>
      <c r="I25" s="18"/>
      <c r="J25" s="18"/>
      <c r="K25" s="7"/>
      <c r="L25" s="2"/>
      <c r="M25" s="19">
        <f t="shared" si="0"/>
        <v>0</v>
      </c>
    </row>
    <row r="26" spans="1:13" x14ac:dyDescent="0.3">
      <c r="A26" s="17">
        <v>25</v>
      </c>
      <c r="B26" s="2"/>
      <c r="C26" s="2"/>
      <c r="D26" s="2"/>
      <c r="E26" s="2"/>
      <c r="F26" s="18"/>
      <c r="G26" s="18"/>
      <c r="H26" s="18"/>
      <c r="I26" s="18"/>
      <c r="J26" s="18"/>
      <c r="K26" s="7"/>
      <c r="L26" s="2"/>
      <c r="M26" s="19">
        <f t="shared" si="0"/>
        <v>0</v>
      </c>
    </row>
  </sheetData>
  <dataValidations count="4">
    <dataValidation type="list" allowBlank="1" showInputMessage="1" showErrorMessage="1" sqref="D2:D26" xr:uid="{77BB2B97-369E-4AEC-937F-7910F881DB38}">
      <formula1>"Food,Retail,Service,Digital,Other"</formula1>
    </dataValidation>
    <dataValidation type="list" allowBlank="1" showInputMessage="1" showErrorMessage="1" sqref="L2:L26" xr:uid="{63D4706F-1EBA-4DF2-A943-0A9E00C1D15E}">
      <formula1>"Budget,Mid,Premium"</formula1>
    </dataValidation>
    <dataValidation type="decimal" operator="greaterThan" allowBlank="1" showInputMessage="1" showErrorMessage="1" sqref="F2:F26" xr:uid="{0108F089-D204-4CD7-B093-74BECADD536C}">
      <formula1>0</formula1>
    </dataValidation>
    <dataValidation type="decimal" allowBlank="1" showInputMessage="1" showErrorMessage="1" sqref="K2:K26" xr:uid="{EEE8344E-F063-4A65-8967-77A054AFBA05}">
      <formula1>0</formula1>
      <formula2>0.9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100C-8E16-4342-B734-0647490F408E}">
  <dimension ref="A1:J26"/>
  <sheetViews>
    <sheetView workbookViewId="0">
      <selection activeCell="B7" sqref="B7"/>
    </sheetView>
  </sheetViews>
  <sheetFormatPr defaultRowHeight="14.4" x14ac:dyDescent="0.3"/>
  <cols>
    <col min="1" max="1" width="8.88671875" bestFit="1" customWidth="1"/>
    <col min="2" max="2" width="14" bestFit="1" customWidth="1"/>
    <col min="3" max="3" width="9.33203125" bestFit="1" customWidth="1"/>
    <col min="4" max="4" width="9.6640625" bestFit="1" customWidth="1"/>
    <col min="5" max="5" width="12" bestFit="1" customWidth="1"/>
    <col min="6" max="6" width="11.88671875" bestFit="1" customWidth="1"/>
    <col min="7" max="7" width="9.33203125" bestFit="1" customWidth="1"/>
    <col min="8" max="8" width="17.44140625" bestFit="1" customWidth="1"/>
    <col min="9" max="9" width="11.6640625" bestFit="1" customWidth="1"/>
    <col min="10" max="10" width="10.6640625" bestFit="1" customWidth="1"/>
  </cols>
  <sheetData>
    <row r="1" spans="1:10" x14ac:dyDescent="0.3">
      <c r="A1" s="5" t="s">
        <v>39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  <c r="J1" s="5" t="s">
        <v>38</v>
      </c>
    </row>
    <row r="2" spans="1:10" x14ac:dyDescent="0.3">
      <c r="A2" s="17">
        <v>1</v>
      </c>
      <c r="B2" s="18"/>
      <c r="C2" s="18"/>
      <c r="D2" s="18"/>
      <c r="E2" s="7"/>
      <c r="F2" s="7"/>
      <c r="G2" s="9"/>
      <c r="H2" s="9"/>
      <c r="I2" s="8"/>
      <c r="J2" s="9"/>
    </row>
    <row r="3" spans="1:10" x14ac:dyDescent="0.3">
      <c r="A3" s="17">
        <v>2</v>
      </c>
      <c r="B3" s="18"/>
      <c r="C3" s="18"/>
      <c r="D3" s="18"/>
      <c r="E3" s="7"/>
      <c r="F3" s="7"/>
      <c r="G3" s="9"/>
      <c r="H3" s="9"/>
      <c r="I3" s="8"/>
      <c r="J3" s="9"/>
    </row>
    <row r="4" spans="1:10" x14ac:dyDescent="0.3">
      <c r="A4" s="17">
        <v>3</v>
      </c>
      <c r="B4" s="18"/>
      <c r="C4" s="18"/>
      <c r="D4" s="18"/>
      <c r="E4" s="7"/>
      <c r="F4" s="7"/>
      <c r="G4" s="9"/>
      <c r="H4" s="9"/>
      <c r="I4" s="8"/>
      <c r="J4" s="9"/>
    </row>
    <row r="5" spans="1:10" x14ac:dyDescent="0.3">
      <c r="A5" s="17">
        <v>4</v>
      </c>
      <c r="B5" s="18"/>
      <c r="C5" s="18"/>
      <c r="D5" s="18"/>
      <c r="E5" s="7"/>
      <c r="F5" s="7"/>
      <c r="G5" s="9"/>
      <c r="H5" s="9"/>
      <c r="I5" s="8"/>
      <c r="J5" s="9"/>
    </row>
    <row r="6" spans="1:10" x14ac:dyDescent="0.3">
      <c r="A6" s="17">
        <v>5</v>
      </c>
      <c r="B6" s="18"/>
      <c r="C6" s="18"/>
      <c r="D6" s="18"/>
      <c r="E6" s="7"/>
      <c r="F6" s="7"/>
      <c r="G6" s="9"/>
      <c r="H6" s="9"/>
      <c r="I6" s="8"/>
      <c r="J6" s="9"/>
    </row>
    <row r="7" spans="1:10" x14ac:dyDescent="0.3">
      <c r="A7" s="17">
        <v>6</v>
      </c>
      <c r="B7" s="18"/>
      <c r="C7" s="18"/>
      <c r="D7" s="18"/>
      <c r="E7" s="7"/>
      <c r="F7" s="7"/>
      <c r="G7" s="9"/>
      <c r="H7" s="9"/>
      <c r="I7" s="8"/>
      <c r="J7" s="9"/>
    </row>
    <row r="8" spans="1:10" x14ac:dyDescent="0.3">
      <c r="A8" s="17">
        <v>7</v>
      </c>
      <c r="B8" s="18"/>
      <c r="C8" s="18"/>
      <c r="D8" s="18"/>
      <c r="E8" s="7"/>
      <c r="F8" s="7"/>
      <c r="G8" s="9"/>
      <c r="H8" s="9"/>
      <c r="I8" s="8"/>
      <c r="J8" s="9"/>
    </row>
    <row r="9" spans="1:10" x14ac:dyDescent="0.3">
      <c r="A9" s="17">
        <v>8</v>
      </c>
      <c r="B9" s="18"/>
      <c r="C9" s="18"/>
      <c r="D9" s="18"/>
      <c r="E9" s="7"/>
      <c r="F9" s="7"/>
      <c r="G9" s="9"/>
      <c r="H9" s="9"/>
      <c r="I9" s="8"/>
      <c r="J9" s="9"/>
    </row>
    <row r="10" spans="1:10" x14ac:dyDescent="0.3">
      <c r="A10" s="17">
        <v>9</v>
      </c>
      <c r="B10" s="18"/>
      <c r="C10" s="18"/>
      <c r="D10" s="18"/>
      <c r="E10" s="7"/>
      <c r="F10" s="7"/>
      <c r="G10" s="9"/>
      <c r="H10" s="9"/>
      <c r="I10" s="8"/>
      <c r="J10" s="9"/>
    </row>
    <row r="11" spans="1:10" x14ac:dyDescent="0.3">
      <c r="A11" s="17">
        <v>10</v>
      </c>
      <c r="B11" s="18"/>
      <c r="C11" s="18"/>
      <c r="D11" s="18"/>
      <c r="E11" s="7"/>
      <c r="F11" s="7"/>
      <c r="G11" s="9"/>
      <c r="H11" s="9"/>
      <c r="I11" s="8"/>
      <c r="J11" s="9"/>
    </row>
    <row r="12" spans="1:10" x14ac:dyDescent="0.3">
      <c r="A12" s="17">
        <v>11</v>
      </c>
      <c r="B12" s="18"/>
      <c r="C12" s="18"/>
      <c r="D12" s="18"/>
      <c r="E12" s="7"/>
      <c r="F12" s="7"/>
      <c r="G12" s="9"/>
      <c r="H12" s="9"/>
      <c r="I12" s="8"/>
      <c r="J12" s="9"/>
    </row>
    <row r="13" spans="1:10" x14ac:dyDescent="0.3">
      <c r="A13" s="17">
        <v>12</v>
      </c>
      <c r="B13" s="18"/>
      <c r="C13" s="18"/>
      <c r="D13" s="18"/>
      <c r="E13" s="7"/>
      <c r="F13" s="7"/>
      <c r="G13" s="9"/>
      <c r="H13" s="9"/>
      <c r="I13" s="8"/>
      <c r="J13" s="9"/>
    </row>
    <row r="14" spans="1:10" x14ac:dyDescent="0.3">
      <c r="A14" s="17">
        <v>13</v>
      </c>
      <c r="B14" s="18"/>
      <c r="C14" s="18"/>
      <c r="D14" s="18"/>
      <c r="E14" s="7"/>
      <c r="F14" s="7"/>
      <c r="G14" s="9"/>
      <c r="H14" s="9"/>
      <c r="I14" s="8"/>
      <c r="J14" s="9"/>
    </row>
    <row r="15" spans="1:10" x14ac:dyDescent="0.3">
      <c r="A15" s="17">
        <v>14</v>
      </c>
      <c r="B15" s="18"/>
      <c r="C15" s="18"/>
      <c r="D15" s="18"/>
      <c r="E15" s="7"/>
      <c r="F15" s="7"/>
      <c r="G15" s="9"/>
      <c r="H15" s="9"/>
      <c r="I15" s="8"/>
      <c r="J15" s="9"/>
    </row>
    <row r="16" spans="1:10" x14ac:dyDescent="0.3">
      <c r="A16" s="17">
        <v>15</v>
      </c>
      <c r="B16" s="18"/>
      <c r="C16" s="18"/>
      <c r="D16" s="18"/>
      <c r="E16" s="7"/>
      <c r="F16" s="7"/>
      <c r="G16" s="9"/>
      <c r="H16" s="9"/>
      <c r="I16" s="8"/>
      <c r="J16" s="9"/>
    </row>
    <row r="17" spans="1:10" x14ac:dyDescent="0.3">
      <c r="A17" s="17">
        <v>16</v>
      </c>
      <c r="B17" s="18"/>
      <c r="C17" s="18"/>
      <c r="D17" s="18"/>
      <c r="E17" s="7"/>
      <c r="F17" s="7"/>
      <c r="G17" s="9"/>
      <c r="H17" s="9"/>
      <c r="I17" s="8"/>
      <c r="J17" s="9"/>
    </row>
    <row r="18" spans="1:10" x14ac:dyDescent="0.3">
      <c r="A18" s="17">
        <v>17</v>
      </c>
      <c r="B18" s="18"/>
      <c r="C18" s="18"/>
      <c r="D18" s="18"/>
      <c r="E18" s="7"/>
      <c r="F18" s="7"/>
      <c r="G18" s="9"/>
      <c r="H18" s="9"/>
      <c r="I18" s="8"/>
      <c r="J18" s="9"/>
    </row>
    <row r="19" spans="1:10" x14ac:dyDescent="0.3">
      <c r="A19" s="17">
        <v>18</v>
      </c>
      <c r="B19" s="18"/>
      <c r="C19" s="18"/>
      <c r="D19" s="18"/>
      <c r="E19" s="7"/>
      <c r="F19" s="7"/>
      <c r="G19" s="9"/>
      <c r="H19" s="9"/>
      <c r="I19" s="8"/>
      <c r="J19" s="9"/>
    </row>
    <row r="20" spans="1:10" x14ac:dyDescent="0.3">
      <c r="A20" s="17">
        <v>19</v>
      </c>
      <c r="B20" s="18"/>
      <c r="C20" s="18"/>
      <c r="D20" s="18"/>
      <c r="E20" s="7"/>
      <c r="F20" s="7"/>
      <c r="G20" s="9"/>
      <c r="H20" s="9"/>
      <c r="I20" s="8"/>
      <c r="J20" s="9"/>
    </row>
    <row r="21" spans="1:10" x14ac:dyDescent="0.3">
      <c r="A21" s="17">
        <v>20</v>
      </c>
      <c r="B21" s="18"/>
      <c r="C21" s="18"/>
      <c r="D21" s="18"/>
      <c r="E21" s="7"/>
      <c r="F21" s="7"/>
      <c r="G21" s="9"/>
      <c r="H21" s="9"/>
      <c r="I21" s="8"/>
      <c r="J21" s="9"/>
    </row>
    <row r="22" spans="1:10" x14ac:dyDescent="0.3">
      <c r="A22" s="17">
        <v>21</v>
      </c>
      <c r="B22" s="18"/>
      <c r="C22" s="18"/>
      <c r="D22" s="18"/>
      <c r="E22" s="7"/>
      <c r="F22" s="7"/>
      <c r="G22" s="9"/>
      <c r="H22" s="9"/>
      <c r="I22" s="8"/>
      <c r="J22" s="9"/>
    </row>
    <row r="23" spans="1:10" x14ac:dyDescent="0.3">
      <c r="A23" s="17">
        <v>22</v>
      </c>
      <c r="B23" s="18"/>
      <c r="C23" s="18"/>
      <c r="D23" s="18"/>
      <c r="E23" s="7"/>
      <c r="F23" s="7"/>
      <c r="G23" s="9"/>
      <c r="H23" s="9"/>
      <c r="I23" s="8"/>
      <c r="J23" s="9"/>
    </row>
    <row r="24" spans="1:10" x14ac:dyDescent="0.3">
      <c r="A24" s="17">
        <v>23</v>
      </c>
      <c r="B24" s="18"/>
      <c r="C24" s="18"/>
      <c r="D24" s="18"/>
      <c r="E24" s="7"/>
      <c r="F24" s="7"/>
      <c r="G24" s="9"/>
      <c r="H24" s="9"/>
      <c r="I24" s="8"/>
      <c r="J24" s="9"/>
    </row>
    <row r="25" spans="1:10" x14ac:dyDescent="0.3">
      <c r="A25" s="17">
        <v>24</v>
      </c>
      <c r="B25" s="18"/>
      <c r="C25" s="18"/>
      <c r="D25" s="18"/>
      <c r="E25" s="7"/>
      <c r="F25" s="7"/>
      <c r="G25" s="9"/>
      <c r="H25" s="9"/>
      <c r="I25" s="8"/>
      <c r="J25" s="9"/>
    </row>
    <row r="26" spans="1:10" x14ac:dyDescent="0.3">
      <c r="A26" s="17">
        <v>25</v>
      </c>
      <c r="B26" s="18"/>
      <c r="C26" s="18"/>
      <c r="D26" s="18"/>
      <c r="E26" s="7"/>
      <c r="F26" s="7"/>
      <c r="G26" s="9"/>
      <c r="H26" s="9"/>
      <c r="I26" s="8"/>
      <c r="J2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9E83-AF0D-4AE1-9AA9-276123FC1B7E}">
  <dimension ref="A1:H13"/>
  <sheetViews>
    <sheetView workbookViewId="0"/>
  </sheetViews>
  <sheetFormatPr defaultRowHeight="14.4" x14ac:dyDescent="0.3"/>
  <cols>
    <col min="1" max="1" width="13.6640625" bestFit="1" customWidth="1"/>
    <col min="2" max="2" width="19.33203125" bestFit="1" customWidth="1"/>
    <col min="3" max="3" width="22.21875" bestFit="1" customWidth="1"/>
    <col min="4" max="4" width="10.77734375" bestFit="1" customWidth="1"/>
    <col min="5" max="5" width="10.44140625" bestFit="1" customWidth="1"/>
    <col min="7" max="7" width="13.6640625" bestFit="1" customWidth="1"/>
  </cols>
  <sheetData>
    <row r="1" spans="1:8" x14ac:dyDescent="0.3">
      <c r="A1" s="5" t="s">
        <v>100</v>
      </c>
      <c r="B1" s="5" t="s">
        <v>101</v>
      </c>
      <c r="C1" s="5" t="s">
        <v>102</v>
      </c>
      <c r="D1" s="5" t="s">
        <v>103</v>
      </c>
      <c r="E1" s="5" t="s">
        <v>104</v>
      </c>
      <c r="G1" s="5" t="s">
        <v>105</v>
      </c>
      <c r="H1" s="3"/>
    </row>
    <row r="2" spans="1:8" x14ac:dyDescent="0.3">
      <c r="A2" s="2"/>
      <c r="B2" s="16" t="str">
        <f t="shared" ref="B2:B13" si="0">IF($H$1="","",EOMONTH($H$1,-1))</f>
        <v/>
      </c>
      <c r="C2" s="33"/>
      <c r="D2" s="2"/>
      <c r="E2" s="34"/>
    </row>
    <row r="3" spans="1:8" x14ac:dyDescent="0.3">
      <c r="A3" s="2"/>
      <c r="B3" s="16" t="str">
        <f t="shared" si="0"/>
        <v/>
      </c>
      <c r="C3" s="33"/>
      <c r="D3" s="2"/>
      <c r="E3" s="34"/>
      <c r="G3" s="50" t="s">
        <v>106</v>
      </c>
      <c r="H3" s="51"/>
    </row>
    <row r="4" spans="1:8" x14ac:dyDescent="0.3">
      <c r="A4" s="2"/>
      <c r="B4" s="16" t="str">
        <f t="shared" si="0"/>
        <v/>
      </c>
      <c r="C4" s="33"/>
      <c r="D4" s="2"/>
      <c r="E4" s="34"/>
      <c r="G4" s="51"/>
      <c r="H4" s="51"/>
    </row>
    <row r="5" spans="1:8" x14ac:dyDescent="0.3">
      <c r="A5" s="2"/>
      <c r="B5" s="16" t="str">
        <f t="shared" si="0"/>
        <v/>
      </c>
      <c r="C5" s="33"/>
      <c r="D5" s="2"/>
      <c r="E5" s="34"/>
      <c r="G5" s="51"/>
      <c r="H5" s="51"/>
    </row>
    <row r="6" spans="1:8" x14ac:dyDescent="0.3">
      <c r="A6" s="2"/>
      <c r="B6" s="16" t="str">
        <f t="shared" si="0"/>
        <v/>
      </c>
      <c r="C6" s="33"/>
      <c r="D6" s="2"/>
      <c r="E6" s="34"/>
    </row>
    <row r="7" spans="1:8" x14ac:dyDescent="0.3">
      <c r="A7" s="2"/>
      <c r="B7" s="16" t="str">
        <f t="shared" si="0"/>
        <v/>
      </c>
      <c r="C7" s="33"/>
      <c r="D7" s="2"/>
      <c r="E7" s="34"/>
    </row>
    <row r="8" spans="1:8" x14ac:dyDescent="0.3">
      <c r="A8" s="2"/>
      <c r="B8" s="16" t="str">
        <f t="shared" si="0"/>
        <v/>
      </c>
      <c r="C8" s="33"/>
      <c r="D8" s="2"/>
      <c r="E8" s="34"/>
    </row>
    <row r="9" spans="1:8" x14ac:dyDescent="0.3">
      <c r="A9" s="2"/>
      <c r="B9" s="16" t="str">
        <f t="shared" si="0"/>
        <v/>
      </c>
      <c r="C9" s="33"/>
      <c r="D9" s="2"/>
      <c r="E9" s="34"/>
    </row>
    <row r="10" spans="1:8" x14ac:dyDescent="0.3">
      <c r="A10" s="2"/>
      <c r="B10" s="16" t="str">
        <f t="shared" si="0"/>
        <v/>
      </c>
      <c r="C10" s="33"/>
      <c r="D10" s="2"/>
      <c r="E10" s="34"/>
    </row>
    <row r="11" spans="1:8" x14ac:dyDescent="0.3">
      <c r="A11" s="2"/>
      <c r="B11" s="16" t="str">
        <f t="shared" si="0"/>
        <v/>
      </c>
      <c r="C11" s="33"/>
      <c r="D11" s="2"/>
      <c r="E11" s="34"/>
    </row>
    <row r="12" spans="1:8" x14ac:dyDescent="0.3">
      <c r="A12" s="2"/>
      <c r="B12" s="16" t="str">
        <f t="shared" si="0"/>
        <v/>
      </c>
      <c r="C12" s="33"/>
      <c r="D12" s="2"/>
      <c r="E12" s="34"/>
    </row>
    <row r="13" spans="1:8" x14ac:dyDescent="0.3">
      <c r="A13" s="2"/>
      <c r="B13" s="16" t="str">
        <f t="shared" si="0"/>
        <v/>
      </c>
      <c r="C13" s="33"/>
      <c r="D13" s="2"/>
      <c r="E13" s="34"/>
    </row>
  </sheetData>
  <mergeCells count="1">
    <mergeCell ref="G3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353C-835E-4E4C-8ECD-4B0BA5775BC0}">
  <dimension ref="A1:L26"/>
  <sheetViews>
    <sheetView workbookViewId="0">
      <selection activeCell="B2" sqref="B2"/>
    </sheetView>
  </sheetViews>
  <sheetFormatPr defaultRowHeight="14.4" x14ac:dyDescent="0.3"/>
  <cols>
    <col min="1" max="1" width="8.88671875" bestFit="1" customWidth="1"/>
    <col min="2" max="2" width="9.21875" bestFit="1" customWidth="1"/>
    <col min="3" max="3" width="15.21875" bestFit="1" customWidth="1"/>
    <col min="4" max="4" width="13.5546875" bestFit="1" customWidth="1"/>
    <col min="5" max="5" width="16.88671875" bestFit="1" customWidth="1"/>
    <col min="6" max="6" width="18.88671875" bestFit="1" customWidth="1"/>
    <col min="7" max="7" width="16.5546875" bestFit="1" customWidth="1"/>
    <col min="8" max="8" width="7.21875" bestFit="1" customWidth="1"/>
    <col min="9" max="9" width="14.33203125" bestFit="1" customWidth="1"/>
    <col min="10" max="10" width="16" bestFit="1" customWidth="1"/>
    <col min="11" max="11" width="18" bestFit="1" customWidth="1"/>
    <col min="12" max="12" width="15.6640625" bestFit="1" customWidth="1"/>
  </cols>
  <sheetData>
    <row r="1" spans="1:12" x14ac:dyDescent="0.3">
      <c r="A1" s="20" t="s">
        <v>39</v>
      </c>
      <c r="B1" s="20" t="s">
        <v>15</v>
      </c>
      <c r="C1" s="20" t="s">
        <v>51</v>
      </c>
      <c r="D1" s="20" t="s">
        <v>52</v>
      </c>
      <c r="E1" s="20" t="s">
        <v>53</v>
      </c>
      <c r="F1" s="20" t="s">
        <v>54</v>
      </c>
      <c r="G1" s="20" t="s">
        <v>55</v>
      </c>
      <c r="H1" s="20" t="s">
        <v>40</v>
      </c>
      <c r="I1" s="20" t="s">
        <v>56</v>
      </c>
      <c r="J1" s="20" t="s">
        <v>57</v>
      </c>
      <c r="K1" s="20" t="s">
        <v>58</v>
      </c>
      <c r="L1" s="20" t="s">
        <v>59</v>
      </c>
    </row>
    <row r="2" spans="1:12" x14ac:dyDescent="0.3">
      <c r="A2" s="17">
        <v>1</v>
      </c>
      <c r="B2" s="19">
        <f>Product_Input!M2</f>
        <v>0</v>
      </c>
      <c r="C2" s="19">
        <f>IF(B2=0,0,B2*(1+Product_Input!K2))</f>
        <v>0</v>
      </c>
      <c r="D2" s="10" cm="1">
        <f t="array" ref="D2">IFERROR(_xlfn.IFS(Product_Input!L2="Budget",-0.05,Product_Input!L2="Mid",0,Product_Input!L2="Premium",0.1),0)</f>
        <v>0</v>
      </c>
      <c r="E2" s="19">
        <f>IF(Market_Input!B2="",0,Market_Input!B2*(1+D2))</f>
        <v>0</v>
      </c>
      <c r="F2" s="19">
        <f>IF(C2=0,0,C2*(1+Market_Input!E2))</f>
        <v>0</v>
      </c>
      <c r="G2" s="19">
        <f t="shared" ref="G2:G26" si="0">B2</f>
        <v>0</v>
      </c>
      <c r="H2" s="11">
        <f>IFERROR(_xlfn.XLOOKUP(Client_Info!$B$8,FX_Rates!$A$2:$A$13,FX_Rates!$C$2:$C$13,1),1)</f>
        <v>0</v>
      </c>
      <c r="I2" s="6">
        <f t="shared" ref="I2:I26" si="1">C2*H2</f>
        <v>0</v>
      </c>
      <c r="J2" s="6">
        <f t="shared" ref="J2:J26" si="2">E2*H2</f>
        <v>0</v>
      </c>
      <c r="K2" s="6">
        <f t="shared" ref="K2:K26" si="3">F2*H2</f>
        <v>0</v>
      </c>
      <c r="L2" s="6">
        <f t="shared" ref="L2:L26" si="4">G2*H2</f>
        <v>0</v>
      </c>
    </row>
    <row r="3" spans="1:12" x14ac:dyDescent="0.3">
      <c r="A3" s="17">
        <v>2</v>
      </c>
      <c r="B3" s="19">
        <f>Product_Input!M3</f>
        <v>0</v>
      </c>
      <c r="C3" s="19">
        <f>IF(B3=0,0,B3*(1+Product_Input!K3))</f>
        <v>0</v>
      </c>
      <c r="D3" s="10" cm="1">
        <f t="array" ref="D3">IFERROR(_xlfn.IFS(Product_Input!L3="Budget",-0.05,Product_Input!L3="Mid",0,Product_Input!L3="Premium",0.1),0)</f>
        <v>0</v>
      </c>
      <c r="E3" s="19">
        <f>IF(Market_Input!B3="",0,Market_Input!B3*(1+D3))</f>
        <v>0</v>
      </c>
      <c r="F3" s="19">
        <f>IF(C3=0,0,C3*(1+Market_Input!E3))</f>
        <v>0</v>
      </c>
      <c r="G3" s="19">
        <f t="shared" si="0"/>
        <v>0</v>
      </c>
      <c r="H3" s="11">
        <f>IFERROR(_xlfn.XLOOKUP(Client_Info!$B$8,FX_Rates!$A$2:$A$13,FX_Rates!$C$2:$C$13,1),1)</f>
        <v>0</v>
      </c>
      <c r="I3" s="6">
        <f t="shared" si="1"/>
        <v>0</v>
      </c>
      <c r="J3" s="6">
        <f t="shared" si="2"/>
        <v>0</v>
      </c>
      <c r="K3" s="6">
        <f t="shared" si="3"/>
        <v>0</v>
      </c>
      <c r="L3" s="6">
        <f t="shared" si="4"/>
        <v>0</v>
      </c>
    </row>
    <row r="4" spans="1:12" x14ac:dyDescent="0.3">
      <c r="A4" s="17">
        <v>3</v>
      </c>
      <c r="B4" s="19">
        <f>Product_Input!M4</f>
        <v>0</v>
      </c>
      <c r="C4" s="19">
        <f>IF(B4=0,0,B4*(1+Product_Input!K4))</f>
        <v>0</v>
      </c>
      <c r="D4" s="10" cm="1">
        <f t="array" ref="D4">IFERROR(_xlfn.IFS(Product_Input!L4="Budget",-0.05,Product_Input!L4="Mid",0,Product_Input!L4="Premium",0.1),0)</f>
        <v>0</v>
      </c>
      <c r="E4" s="19">
        <f>IF(Market_Input!B4="",0,Market_Input!B4*(1+D4))</f>
        <v>0</v>
      </c>
      <c r="F4" s="19">
        <f>IF(C4=0,0,C4*(1+Market_Input!E4))</f>
        <v>0</v>
      </c>
      <c r="G4" s="19">
        <f t="shared" si="0"/>
        <v>0</v>
      </c>
      <c r="H4" s="11">
        <f>IFERROR(_xlfn.XLOOKUP(Client_Info!$B$8,FX_Rates!$A$2:$A$13,FX_Rates!$C$2:$C$13,1),1)</f>
        <v>0</v>
      </c>
      <c r="I4" s="6">
        <f t="shared" si="1"/>
        <v>0</v>
      </c>
      <c r="J4" s="6">
        <f t="shared" si="2"/>
        <v>0</v>
      </c>
      <c r="K4" s="6">
        <f t="shared" si="3"/>
        <v>0</v>
      </c>
      <c r="L4" s="6">
        <f t="shared" si="4"/>
        <v>0</v>
      </c>
    </row>
    <row r="5" spans="1:12" x14ac:dyDescent="0.3">
      <c r="A5" s="17">
        <v>4</v>
      </c>
      <c r="B5" s="19">
        <f>Product_Input!M5</f>
        <v>0</v>
      </c>
      <c r="C5" s="19">
        <f>IF(B5=0,0,B5*(1+Product_Input!K5))</f>
        <v>0</v>
      </c>
      <c r="D5" s="10" cm="1">
        <f t="array" ref="D5">IFERROR(_xlfn.IFS(Product_Input!L5="Budget",-0.05,Product_Input!L5="Mid",0,Product_Input!L5="Premium",0.1),0)</f>
        <v>0</v>
      </c>
      <c r="E5" s="19">
        <f>IF(Market_Input!B5="",0,Market_Input!B5*(1+D5))</f>
        <v>0</v>
      </c>
      <c r="F5" s="19">
        <f>IF(C5=0,0,C5*(1+Market_Input!E5))</f>
        <v>0</v>
      </c>
      <c r="G5" s="19">
        <f t="shared" si="0"/>
        <v>0</v>
      </c>
      <c r="H5" s="11">
        <f>IFERROR(_xlfn.XLOOKUP(Client_Info!$B$8,FX_Rates!$A$2:$A$13,FX_Rates!$C$2:$C$13,1),1)</f>
        <v>0</v>
      </c>
      <c r="I5" s="6">
        <f t="shared" si="1"/>
        <v>0</v>
      </c>
      <c r="J5" s="6">
        <f t="shared" si="2"/>
        <v>0</v>
      </c>
      <c r="K5" s="6">
        <f t="shared" si="3"/>
        <v>0</v>
      </c>
      <c r="L5" s="6">
        <f t="shared" si="4"/>
        <v>0</v>
      </c>
    </row>
    <row r="6" spans="1:12" x14ac:dyDescent="0.3">
      <c r="A6" s="17">
        <v>5</v>
      </c>
      <c r="B6" s="19">
        <f>Product_Input!M6</f>
        <v>0</v>
      </c>
      <c r="C6" s="19">
        <f>IF(B6=0,0,B6*(1+Product_Input!K6))</f>
        <v>0</v>
      </c>
      <c r="D6" s="10" cm="1">
        <f t="array" ref="D6">IFERROR(_xlfn.IFS(Product_Input!L6="Budget",-0.05,Product_Input!L6="Mid",0,Product_Input!L6="Premium",0.1),0)</f>
        <v>0</v>
      </c>
      <c r="E6" s="19">
        <f>IF(Market_Input!B6="",0,Market_Input!B6*(1+D6))</f>
        <v>0</v>
      </c>
      <c r="F6" s="19">
        <f>IF(C6=0,0,C6*(1+Market_Input!E6))</f>
        <v>0</v>
      </c>
      <c r="G6" s="19">
        <f t="shared" si="0"/>
        <v>0</v>
      </c>
      <c r="H6" s="11">
        <f>IFERROR(_xlfn.XLOOKUP(Client_Info!$B$8,FX_Rates!$A$2:$A$13,FX_Rates!$C$2:$C$13,1),1)</f>
        <v>0</v>
      </c>
      <c r="I6" s="6">
        <f t="shared" si="1"/>
        <v>0</v>
      </c>
      <c r="J6" s="6">
        <f t="shared" si="2"/>
        <v>0</v>
      </c>
      <c r="K6" s="6">
        <f t="shared" si="3"/>
        <v>0</v>
      </c>
      <c r="L6" s="6">
        <f t="shared" si="4"/>
        <v>0</v>
      </c>
    </row>
    <row r="7" spans="1:12" x14ac:dyDescent="0.3">
      <c r="A7" s="17">
        <v>6</v>
      </c>
      <c r="B7" s="19">
        <f>Product_Input!M7</f>
        <v>0</v>
      </c>
      <c r="C7" s="19">
        <f>IF(B7=0,0,B7*(1+Product_Input!K7))</f>
        <v>0</v>
      </c>
      <c r="D7" s="10" cm="1">
        <f t="array" ref="D7">IFERROR(_xlfn.IFS(Product_Input!L7="Budget",-0.05,Product_Input!L7="Mid",0,Product_Input!L7="Premium",0.1),0)</f>
        <v>0</v>
      </c>
      <c r="E7" s="19">
        <f>IF(Market_Input!B7="",0,Market_Input!B7*(1+D7))</f>
        <v>0</v>
      </c>
      <c r="F7" s="19">
        <f>IF(C7=0,0,C7*(1+Market_Input!E7))</f>
        <v>0</v>
      </c>
      <c r="G7" s="19">
        <f t="shared" si="0"/>
        <v>0</v>
      </c>
      <c r="H7" s="11">
        <f>IFERROR(_xlfn.XLOOKUP(Client_Info!$B$8,FX_Rates!$A$2:$A$13,FX_Rates!$C$2:$C$13,1),1)</f>
        <v>0</v>
      </c>
      <c r="I7" s="6">
        <f t="shared" si="1"/>
        <v>0</v>
      </c>
      <c r="J7" s="6">
        <f t="shared" si="2"/>
        <v>0</v>
      </c>
      <c r="K7" s="6">
        <f t="shared" si="3"/>
        <v>0</v>
      </c>
      <c r="L7" s="6">
        <f t="shared" si="4"/>
        <v>0</v>
      </c>
    </row>
    <row r="8" spans="1:12" x14ac:dyDescent="0.3">
      <c r="A8" s="17">
        <v>7</v>
      </c>
      <c r="B8" s="19">
        <f>Product_Input!M8</f>
        <v>0</v>
      </c>
      <c r="C8" s="19">
        <f>IF(B8=0,0,B8*(1+Product_Input!K8))</f>
        <v>0</v>
      </c>
      <c r="D8" s="10" cm="1">
        <f t="array" ref="D8">IFERROR(_xlfn.IFS(Product_Input!L8="Budget",-0.05,Product_Input!L8="Mid",0,Product_Input!L8="Premium",0.1),0)</f>
        <v>0</v>
      </c>
      <c r="E8" s="19">
        <f>IF(Market_Input!B8="",0,Market_Input!B8*(1+D8))</f>
        <v>0</v>
      </c>
      <c r="F8" s="19">
        <f>IF(C8=0,0,C8*(1+Market_Input!E8))</f>
        <v>0</v>
      </c>
      <c r="G8" s="19">
        <f t="shared" si="0"/>
        <v>0</v>
      </c>
      <c r="H8" s="11">
        <f>IFERROR(_xlfn.XLOOKUP(Client_Info!$B$8,FX_Rates!$A$2:$A$13,FX_Rates!$C$2:$C$13,1),1)</f>
        <v>0</v>
      </c>
      <c r="I8" s="6">
        <f t="shared" si="1"/>
        <v>0</v>
      </c>
      <c r="J8" s="6">
        <f t="shared" si="2"/>
        <v>0</v>
      </c>
      <c r="K8" s="6">
        <f t="shared" si="3"/>
        <v>0</v>
      </c>
      <c r="L8" s="6">
        <f t="shared" si="4"/>
        <v>0</v>
      </c>
    </row>
    <row r="9" spans="1:12" x14ac:dyDescent="0.3">
      <c r="A9" s="17">
        <v>8</v>
      </c>
      <c r="B9" s="19">
        <f>Product_Input!M9</f>
        <v>0</v>
      </c>
      <c r="C9" s="19">
        <f>IF(B9=0,0,B9*(1+Product_Input!K9))</f>
        <v>0</v>
      </c>
      <c r="D9" s="10" cm="1">
        <f t="array" ref="D9">IFERROR(_xlfn.IFS(Product_Input!L9="Budget",-0.05,Product_Input!L9="Mid",0,Product_Input!L9="Premium",0.1),0)</f>
        <v>0</v>
      </c>
      <c r="E9" s="19">
        <f>IF(Market_Input!B9="",0,Market_Input!B9*(1+D9))</f>
        <v>0</v>
      </c>
      <c r="F9" s="19">
        <f>IF(C9=0,0,C9*(1+Market_Input!E9))</f>
        <v>0</v>
      </c>
      <c r="G9" s="19">
        <f t="shared" si="0"/>
        <v>0</v>
      </c>
      <c r="H9" s="11">
        <f>IFERROR(_xlfn.XLOOKUP(Client_Info!$B$8,FX_Rates!$A$2:$A$13,FX_Rates!$C$2:$C$13,1),1)</f>
        <v>0</v>
      </c>
      <c r="I9" s="6">
        <f t="shared" si="1"/>
        <v>0</v>
      </c>
      <c r="J9" s="6">
        <f t="shared" si="2"/>
        <v>0</v>
      </c>
      <c r="K9" s="6">
        <f t="shared" si="3"/>
        <v>0</v>
      </c>
      <c r="L9" s="6">
        <f t="shared" si="4"/>
        <v>0</v>
      </c>
    </row>
    <row r="10" spans="1:12" x14ac:dyDescent="0.3">
      <c r="A10" s="17">
        <v>9</v>
      </c>
      <c r="B10" s="19">
        <f>Product_Input!M10</f>
        <v>0</v>
      </c>
      <c r="C10" s="19">
        <f>IF(B10=0,0,B10*(1+Product_Input!K10))</f>
        <v>0</v>
      </c>
      <c r="D10" s="10" cm="1">
        <f t="array" ref="D10">IFERROR(_xlfn.IFS(Product_Input!L10="Budget",-0.05,Product_Input!L10="Mid",0,Product_Input!L10="Premium",0.1),0)</f>
        <v>0</v>
      </c>
      <c r="E10" s="19">
        <f>IF(Market_Input!B10="",0,Market_Input!B10*(1+D10))</f>
        <v>0</v>
      </c>
      <c r="F10" s="19">
        <f>IF(C10=0,0,C10*(1+Market_Input!E10))</f>
        <v>0</v>
      </c>
      <c r="G10" s="19">
        <f t="shared" si="0"/>
        <v>0</v>
      </c>
      <c r="H10" s="11">
        <f>IFERROR(_xlfn.XLOOKUP(Client_Info!$B$8,FX_Rates!$A$2:$A$13,FX_Rates!$C$2:$C$13,1),1)</f>
        <v>0</v>
      </c>
      <c r="I10" s="6">
        <f t="shared" si="1"/>
        <v>0</v>
      </c>
      <c r="J10" s="6">
        <f t="shared" si="2"/>
        <v>0</v>
      </c>
      <c r="K10" s="6">
        <f t="shared" si="3"/>
        <v>0</v>
      </c>
      <c r="L10" s="6">
        <f t="shared" si="4"/>
        <v>0</v>
      </c>
    </row>
    <row r="11" spans="1:12" x14ac:dyDescent="0.3">
      <c r="A11" s="17">
        <v>10</v>
      </c>
      <c r="B11" s="19">
        <f>Product_Input!M11</f>
        <v>0</v>
      </c>
      <c r="C11" s="19">
        <f>IF(B11=0,0,B11*(1+Product_Input!K11))</f>
        <v>0</v>
      </c>
      <c r="D11" s="10" cm="1">
        <f t="array" ref="D11">IFERROR(_xlfn.IFS(Product_Input!L11="Budget",-0.05,Product_Input!L11="Mid",0,Product_Input!L11="Premium",0.1),0)</f>
        <v>0</v>
      </c>
      <c r="E11" s="19">
        <f>IF(Market_Input!B11="",0,Market_Input!B11*(1+D11))</f>
        <v>0</v>
      </c>
      <c r="F11" s="19">
        <f>IF(C11=0,0,C11*(1+Market_Input!E11))</f>
        <v>0</v>
      </c>
      <c r="G11" s="19">
        <f t="shared" si="0"/>
        <v>0</v>
      </c>
      <c r="H11" s="11">
        <f>IFERROR(_xlfn.XLOOKUP(Client_Info!$B$8,FX_Rates!$A$2:$A$13,FX_Rates!$C$2:$C$13,1),1)</f>
        <v>0</v>
      </c>
      <c r="I11" s="6">
        <f t="shared" si="1"/>
        <v>0</v>
      </c>
      <c r="J11" s="6">
        <f t="shared" si="2"/>
        <v>0</v>
      </c>
      <c r="K11" s="6">
        <f t="shared" si="3"/>
        <v>0</v>
      </c>
      <c r="L11" s="6">
        <f t="shared" si="4"/>
        <v>0</v>
      </c>
    </row>
    <row r="12" spans="1:12" x14ac:dyDescent="0.3">
      <c r="A12" s="17">
        <v>11</v>
      </c>
      <c r="B12" s="19">
        <f>Product_Input!M12</f>
        <v>0</v>
      </c>
      <c r="C12" s="19">
        <f>IF(B12=0,0,B12*(1+Product_Input!K12))</f>
        <v>0</v>
      </c>
      <c r="D12" s="10" cm="1">
        <f t="array" ref="D12">IFERROR(_xlfn.IFS(Product_Input!L12="Budget",-0.05,Product_Input!L12="Mid",0,Product_Input!L12="Premium",0.1),0)</f>
        <v>0</v>
      </c>
      <c r="E12" s="19">
        <f>IF(Market_Input!B12="",0,Market_Input!B12*(1+D12))</f>
        <v>0</v>
      </c>
      <c r="F12" s="19">
        <f>IF(C12=0,0,C12*(1+Market_Input!E12))</f>
        <v>0</v>
      </c>
      <c r="G12" s="19">
        <f t="shared" si="0"/>
        <v>0</v>
      </c>
      <c r="H12" s="11">
        <f>IFERROR(_xlfn.XLOOKUP(Client_Info!$B$8,FX_Rates!$A$2:$A$13,FX_Rates!$C$2:$C$13,1),1)</f>
        <v>0</v>
      </c>
      <c r="I12" s="6">
        <f t="shared" si="1"/>
        <v>0</v>
      </c>
      <c r="J12" s="6">
        <f t="shared" si="2"/>
        <v>0</v>
      </c>
      <c r="K12" s="6">
        <f t="shared" si="3"/>
        <v>0</v>
      </c>
      <c r="L12" s="6">
        <f t="shared" si="4"/>
        <v>0</v>
      </c>
    </row>
    <row r="13" spans="1:12" x14ac:dyDescent="0.3">
      <c r="A13" s="17">
        <v>12</v>
      </c>
      <c r="B13" s="19">
        <f>Product_Input!M13</f>
        <v>0</v>
      </c>
      <c r="C13" s="19">
        <f>IF(B13=0,0,B13*(1+Product_Input!K13))</f>
        <v>0</v>
      </c>
      <c r="D13" s="10" cm="1">
        <f t="array" ref="D13">IFERROR(_xlfn.IFS(Product_Input!L13="Budget",-0.05,Product_Input!L13="Mid",0,Product_Input!L13="Premium",0.1),0)</f>
        <v>0</v>
      </c>
      <c r="E13" s="19">
        <f>IF(Market_Input!B13="",0,Market_Input!B13*(1+D13))</f>
        <v>0</v>
      </c>
      <c r="F13" s="19">
        <f>IF(C13=0,0,C13*(1+Market_Input!E13))</f>
        <v>0</v>
      </c>
      <c r="G13" s="19">
        <f t="shared" si="0"/>
        <v>0</v>
      </c>
      <c r="H13" s="11">
        <f>IFERROR(_xlfn.XLOOKUP(Client_Info!$B$8,FX_Rates!$A$2:$A$13,FX_Rates!$C$2:$C$13,1),1)</f>
        <v>0</v>
      </c>
      <c r="I13" s="6">
        <f t="shared" si="1"/>
        <v>0</v>
      </c>
      <c r="J13" s="6">
        <f t="shared" si="2"/>
        <v>0</v>
      </c>
      <c r="K13" s="6">
        <f t="shared" si="3"/>
        <v>0</v>
      </c>
      <c r="L13" s="6">
        <f t="shared" si="4"/>
        <v>0</v>
      </c>
    </row>
    <row r="14" spans="1:12" x14ac:dyDescent="0.3">
      <c r="A14" s="17">
        <v>13</v>
      </c>
      <c r="B14" s="19">
        <f>Product_Input!M14</f>
        <v>0</v>
      </c>
      <c r="C14" s="19">
        <f>IF(B14=0,0,B14*(1+Product_Input!K14))</f>
        <v>0</v>
      </c>
      <c r="D14" s="10" cm="1">
        <f t="array" ref="D14">IFERROR(_xlfn.IFS(Product_Input!L14="Budget",-0.05,Product_Input!L14="Mid",0,Product_Input!L14="Premium",0.1),0)</f>
        <v>0</v>
      </c>
      <c r="E14" s="19">
        <f>IF(Market_Input!B14="",0,Market_Input!B14*(1+D14))</f>
        <v>0</v>
      </c>
      <c r="F14" s="19">
        <f>IF(C14=0,0,C14*(1+Market_Input!E14))</f>
        <v>0</v>
      </c>
      <c r="G14" s="19">
        <f t="shared" si="0"/>
        <v>0</v>
      </c>
      <c r="H14" s="11">
        <f>IFERROR(_xlfn.XLOOKUP(Client_Info!$B$8,FX_Rates!$A$2:$A$13,FX_Rates!$C$2:$C$13,1),1)</f>
        <v>0</v>
      </c>
      <c r="I14" s="6">
        <f t="shared" si="1"/>
        <v>0</v>
      </c>
      <c r="J14" s="6">
        <f t="shared" si="2"/>
        <v>0</v>
      </c>
      <c r="K14" s="6">
        <f t="shared" si="3"/>
        <v>0</v>
      </c>
      <c r="L14" s="6">
        <f t="shared" si="4"/>
        <v>0</v>
      </c>
    </row>
    <row r="15" spans="1:12" x14ac:dyDescent="0.3">
      <c r="A15" s="17">
        <v>14</v>
      </c>
      <c r="B15" s="19">
        <f>Product_Input!M15</f>
        <v>0</v>
      </c>
      <c r="C15" s="19">
        <f>IF(B15=0,0,B15*(1+Product_Input!K15))</f>
        <v>0</v>
      </c>
      <c r="D15" s="10" cm="1">
        <f t="array" ref="D15">IFERROR(_xlfn.IFS(Product_Input!L15="Budget",-0.05,Product_Input!L15="Mid",0,Product_Input!L15="Premium",0.1),0)</f>
        <v>0</v>
      </c>
      <c r="E15" s="19">
        <f>IF(Market_Input!B15="",0,Market_Input!B15*(1+D15))</f>
        <v>0</v>
      </c>
      <c r="F15" s="19">
        <f>IF(C15=0,0,C15*(1+Market_Input!E15))</f>
        <v>0</v>
      </c>
      <c r="G15" s="19">
        <f t="shared" si="0"/>
        <v>0</v>
      </c>
      <c r="H15" s="11">
        <f>IFERROR(_xlfn.XLOOKUP(Client_Info!$B$8,FX_Rates!$A$2:$A$13,FX_Rates!$C$2:$C$13,1),1)</f>
        <v>0</v>
      </c>
      <c r="I15" s="6">
        <f t="shared" si="1"/>
        <v>0</v>
      </c>
      <c r="J15" s="6">
        <f t="shared" si="2"/>
        <v>0</v>
      </c>
      <c r="K15" s="6">
        <f t="shared" si="3"/>
        <v>0</v>
      </c>
      <c r="L15" s="6">
        <f t="shared" si="4"/>
        <v>0</v>
      </c>
    </row>
    <row r="16" spans="1:12" x14ac:dyDescent="0.3">
      <c r="A16" s="17">
        <v>15</v>
      </c>
      <c r="B16" s="19">
        <f>Product_Input!M16</f>
        <v>0</v>
      </c>
      <c r="C16" s="19">
        <f>IF(B16=0,0,B16*(1+Product_Input!K16))</f>
        <v>0</v>
      </c>
      <c r="D16" s="10" cm="1">
        <f t="array" ref="D16">IFERROR(_xlfn.IFS(Product_Input!L16="Budget",-0.05,Product_Input!L16="Mid",0,Product_Input!L16="Premium",0.1),0)</f>
        <v>0</v>
      </c>
      <c r="E16" s="19">
        <f>IF(Market_Input!B16="",0,Market_Input!B16*(1+D16))</f>
        <v>0</v>
      </c>
      <c r="F16" s="19">
        <f>IF(C16=0,0,C16*(1+Market_Input!E16))</f>
        <v>0</v>
      </c>
      <c r="G16" s="19">
        <f t="shared" si="0"/>
        <v>0</v>
      </c>
      <c r="H16" s="11">
        <f>IFERROR(_xlfn.XLOOKUP(Client_Info!$B$8,FX_Rates!$A$2:$A$13,FX_Rates!$C$2:$C$13,1),1)</f>
        <v>0</v>
      </c>
      <c r="I16" s="6">
        <f t="shared" si="1"/>
        <v>0</v>
      </c>
      <c r="J16" s="6">
        <f t="shared" si="2"/>
        <v>0</v>
      </c>
      <c r="K16" s="6">
        <f t="shared" si="3"/>
        <v>0</v>
      </c>
      <c r="L16" s="6">
        <f t="shared" si="4"/>
        <v>0</v>
      </c>
    </row>
    <row r="17" spans="1:12" x14ac:dyDescent="0.3">
      <c r="A17" s="17">
        <v>16</v>
      </c>
      <c r="B17" s="19">
        <f>Product_Input!M17</f>
        <v>0</v>
      </c>
      <c r="C17" s="19">
        <f>IF(B17=0,0,B17*(1+Product_Input!K17))</f>
        <v>0</v>
      </c>
      <c r="D17" s="10" cm="1">
        <f t="array" ref="D17">IFERROR(_xlfn.IFS(Product_Input!L17="Budget",-0.05,Product_Input!L17="Mid",0,Product_Input!L17="Premium",0.1),0)</f>
        <v>0</v>
      </c>
      <c r="E17" s="19">
        <f>IF(Market_Input!B17="",0,Market_Input!B17*(1+D17))</f>
        <v>0</v>
      </c>
      <c r="F17" s="19">
        <f>IF(C17=0,0,C17*(1+Market_Input!E17))</f>
        <v>0</v>
      </c>
      <c r="G17" s="19">
        <f t="shared" si="0"/>
        <v>0</v>
      </c>
      <c r="H17" s="11">
        <f>IFERROR(_xlfn.XLOOKUP(Client_Info!$B$8,FX_Rates!$A$2:$A$13,FX_Rates!$C$2:$C$13,1),1)</f>
        <v>0</v>
      </c>
      <c r="I17" s="6">
        <f t="shared" si="1"/>
        <v>0</v>
      </c>
      <c r="J17" s="6">
        <f t="shared" si="2"/>
        <v>0</v>
      </c>
      <c r="K17" s="6">
        <f t="shared" si="3"/>
        <v>0</v>
      </c>
      <c r="L17" s="6">
        <f t="shared" si="4"/>
        <v>0</v>
      </c>
    </row>
    <row r="18" spans="1:12" x14ac:dyDescent="0.3">
      <c r="A18" s="17">
        <v>17</v>
      </c>
      <c r="B18" s="19">
        <f>Product_Input!M18</f>
        <v>0</v>
      </c>
      <c r="C18" s="19">
        <f>IF(B18=0,0,B18*(1+Product_Input!K18))</f>
        <v>0</v>
      </c>
      <c r="D18" s="10" cm="1">
        <f t="array" ref="D18">IFERROR(_xlfn.IFS(Product_Input!L18="Budget",-0.05,Product_Input!L18="Mid",0,Product_Input!L18="Premium",0.1),0)</f>
        <v>0</v>
      </c>
      <c r="E18" s="19">
        <f>IF(Market_Input!B18="",0,Market_Input!B18*(1+D18))</f>
        <v>0</v>
      </c>
      <c r="F18" s="19">
        <f>IF(C18=0,0,C18*(1+Market_Input!E18))</f>
        <v>0</v>
      </c>
      <c r="G18" s="19">
        <f t="shared" si="0"/>
        <v>0</v>
      </c>
      <c r="H18" s="11">
        <f>IFERROR(_xlfn.XLOOKUP(Client_Info!$B$8,FX_Rates!$A$2:$A$13,FX_Rates!$C$2:$C$13,1),1)</f>
        <v>0</v>
      </c>
      <c r="I18" s="6">
        <f t="shared" si="1"/>
        <v>0</v>
      </c>
      <c r="J18" s="6">
        <f t="shared" si="2"/>
        <v>0</v>
      </c>
      <c r="K18" s="6">
        <f t="shared" si="3"/>
        <v>0</v>
      </c>
      <c r="L18" s="6">
        <f t="shared" si="4"/>
        <v>0</v>
      </c>
    </row>
    <row r="19" spans="1:12" x14ac:dyDescent="0.3">
      <c r="A19" s="17">
        <v>18</v>
      </c>
      <c r="B19" s="19">
        <f>Product_Input!M19</f>
        <v>0</v>
      </c>
      <c r="C19" s="19">
        <f>IF(B19=0,0,B19*(1+Product_Input!K19))</f>
        <v>0</v>
      </c>
      <c r="D19" s="10" cm="1">
        <f t="array" ref="D19">IFERROR(_xlfn.IFS(Product_Input!L19="Budget",-0.05,Product_Input!L19="Mid",0,Product_Input!L19="Premium",0.1),0)</f>
        <v>0</v>
      </c>
      <c r="E19" s="19">
        <f>IF(Market_Input!B19="",0,Market_Input!B19*(1+D19))</f>
        <v>0</v>
      </c>
      <c r="F19" s="19">
        <f>IF(C19=0,0,C19*(1+Market_Input!E19))</f>
        <v>0</v>
      </c>
      <c r="G19" s="19">
        <f t="shared" si="0"/>
        <v>0</v>
      </c>
      <c r="H19" s="11">
        <f>IFERROR(_xlfn.XLOOKUP(Client_Info!$B$8,FX_Rates!$A$2:$A$13,FX_Rates!$C$2:$C$13,1),1)</f>
        <v>0</v>
      </c>
      <c r="I19" s="6">
        <f t="shared" si="1"/>
        <v>0</v>
      </c>
      <c r="J19" s="6">
        <f t="shared" si="2"/>
        <v>0</v>
      </c>
      <c r="K19" s="6">
        <f t="shared" si="3"/>
        <v>0</v>
      </c>
      <c r="L19" s="6">
        <f t="shared" si="4"/>
        <v>0</v>
      </c>
    </row>
    <row r="20" spans="1:12" x14ac:dyDescent="0.3">
      <c r="A20" s="17">
        <v>19</v>
      </c>
      <c r="B20" s="19">
        <f>Product_Input!M20</f>
        <v>0</v>
      </c>
      <c r="C20" s="19">
        <f>IF(B20=0,0,B20*(1+Product_Input!K20))</f>
        <v>0</v>
      </c>
      <c r="D20" s="10" cm="1">
        <f t="array" ref="D20">IFERROR(_xlfn.IFS(Product_Input!L20="Budget",-0.05,Product_Input!L20="Mid",0,Product_Input!L20="Premium",0.1),0)</f>
        <v>0</v>
      </c>
      <c r="E20" s="19">
        <f>IF(Market_Input!B20="",0,Market_Input!B20*(1+D20))</f>
        <v>0</v>
      </c>
      <c r="F20" s="19">
        <f>IF(C20=0,0,C20*(1+Market_Input!E20))</f>
        <v>0</v>
      </c>
      <c r="G20" s="19">
        <f t="shared" si="0"/>
        <v>0</v>
      </c>
      <c r="H20" s="11">
        <f>IFERROR(_xlfn.XLOOKUP(Client_Info!$B$8,FX_Rates!$A$2:$A$13,FX_Rates!$C$2:$C$13,1),1)</f>
        <v>0</v>
      </c>
      <c r="I20" s="6">
        <f t="shared" si="1"/>
        <v>0</v>
      </c>
      <c r="J20" s="6">
        <f t="shared" si="2"/>
        <v>0</v>
      </c>
      <c r="K20" s="6">
        <f t="shared" si="3"/>
        <v>0</v>
      </c>
      <c r="L20" s="6">
        <f t="shared" si="4"/>
        <v>0</v>
      </c>
    </row>
    <row r="21" spans="1:12" x14ac:dyDescent="0.3">
      <c r="A21" s="17">
        <v>20</v>
      </c>
      <c r="B21" s="19">
        <f>Product_Input!M21</f>
        <v>0</v>
      </c>
      <c r="C21" s="19">
        <f>IF(B21=0,0,B21*(1+Product_Input!K21))</f>
        <v>0</v>
      </c>
      <c r="D21" s="10" cm="1">
        <f t="array" ref="D21">IFERROR(_xlfn.IFS(Product_Input!L21="Budget",-0.05,Product_Input!L21="Mid",0,Product_Input!L21="Premium",0.1),0)</f>
        <v>0</v>
      </c>
      <c r="E21" s="19">
        <f>IF(Market_Input!B21="",0,Market_Input!B21*(1+D21))</f>
        <v>0</v>
      </c>
      <c r="F21" s="19">
        <f>IF(C21=0,0,C21*(1+Market_Input!E21))</f>
        <v>0</v>
      </c>
      <c r="G21" s="19">
        <f t="shared" si="0"/>
        <v>0</v>
      </c>
      <c r="H21" s="11">
        <f>IFERROR(_xlfn.XLOOKUP(Client_Info!$B$8,FX_Rates!$A$2:$A$13,FX_Rates!$C$2:$C$13,1),1)</f>
        <v>0</v>
      </c>
      <c r="I21" s="6">
        <f t="shared" si="1"/>
        <v>0</v>
      </c>
      <c r="J21" s="6">
        <f t="shared" si="2"/>
        <v>0</v>
      </c>
      <c r="K21" s="6">
        <f t="shared" si="3"/>
        <v>0</v>
      </c>
      <c r="L21" s="6">
        <f t="shared" si="4"/>
        <v>0</v>
      </c>
    </row>
    <row r="22" spans="1:12" x14ac:dyDescent="0.3">
      <c r="A22" s="17">
        <v>21</v>
      </c>
      <c r="B22" s="19">
        <f>Product_Input!M22</f>
        <v>0</v>
      </c>
      <c r="C22" s="19">
        <f>IF(B22=0,0,B22*(1+Product_Input!K22))</f>
        <v>0</v>
      </c>
      <c r="D22" s="10" cm="1">
        <f t="array" ref="D22">IFERROR(_xlfn.IFS(Product_Input!L22="Budget",-0.05,Product_Input!L22="Mid",0,Product_Input!L22="Premium",0.1),0)</f>
        <v>0</v>
      </c>
      <c r="E22" s="19">
        <f>IF(Market_Input!B22="",0,Market_Input!B22*(1+D22))</f>
        <v>0</v>
      </c>
      <c r="F22" s="19">
        <f>IF(C22=0,0,C22*(1+Market_Input!E22))</f>
        <v>0</v>
      </c>
      <c r="G22" s="19">
        <f t="shared" si="0"/>
        <v>0</v>
      </c>
      <c r="H22" s="11">
        <f>IFERROR(_xlfn.XLOOKUP(Client_Info!$B$8,FX_Rates!$A$2:$A$13,FX_Rates!$C$2:$C$13,1),1)</f>
        <v>0</v>
      </c>
      <c r="I22" s="6">
        <f t="shared" si="1"/>
        <v>0</v>
      </c>
      <c r="J22" s="6">
        <f t="shared" si="2"/>
        <v>0</v>
      </c>
      <c r="K22" s="6">
        <f t="shared" si="3"/>
        <v>0</v>
      </c>
      <c r="L22" s="6">
        <f t="shared" si="4"/>
        <v>0</v>
      </c>
    </row>
    <row r="23" spans="1:12" x14ac:dyDescent="0.3">
      <c r="A23" s="17">
        <v>22</v>
      </c>
      <c r="B23" s="19">
        <f>Product_Input!M23</f>
        <v>0</v>
      </c>
      <c r="C23" s="19">
        <f>IF(B23=0,0,B23*(1+Product_Input!K23))</f>
        <v>0</v>
      </c>
      <c r="D23" s="10" cm="1">
        <f t="array" ref="D23">IFERROR(_xlfn.IFS(Product_Input!L23="Budget",-0.05,Product_Input!L23="Mid",0,Product_Input!L23="Premium",0.1),0)</f>
        <v>0</v>
      </c>
      <c r="E23" s="19">
        <f>IF(Market_Input!B23="",0,Market_Input!B23*(1+D23))</f>
        <v>0</v>
      </c>
      <c r="F23" s="19">
        <f>IF(C23=0,0,C23*(1+Market_Input!E23))</f>
        <v>0</v>
      </c>
      <c r="G23" s="19">
        <f t="shared" si="0"/>
        <v>0</v>
      </c>
      <c r="H23" s="11">
        <f>IFERROR(_xlfn.XLOOKUP(Client_Info!$B$8,FX_Rates!$A$2:$A$13,FX_Rates!$C$2:$C$13,1),1)</f>
        <v>0</v>
      </c>
      <c r="I23" s="6">
        <f t="shared" si="1"/>
        <v>0</v>
      </c>
      <c r="J23" s="6">
        <f t="shared" si="2"/>
        <v>0</v>
      </c>
      <c r="K23" s="6">
        <f t="shared" si="3"/>
        <v>0</v>
      </c>
      <c r="L23" s="6">
        <f t="shared" si="4"/>
        <v>0</v>
      </c>
    </row>
    <row r="24" spans="1:12" x14ac:dyDescent="0.3">
      <c r="A24" s="17">
        <v>23</v>
      </c>
      <c r="B24" s="19">
        <f>Product_Input!M24</f>
        <v>0</v>
      </c>
      <c r="C24" s="19">
        <f>IF(B24=0,0,B24*(1+Product_Input!K24))</f>
        <v>0</v>
      </c>
      <c r="D24" s="10" cm="1">
        <f t="array" ref="D24">IFERROR(_xlfn.IFS(Product_Input!L24="Budget",-0.05,Product_Input!L24="Mid",0,Product_Input!L24="Premium",0.1),0)</f>
        <v>0</v>
      </c>
      <c r="E24" s="19">
        <f>IF(Market_Input!B24="",0,Market_Input!B24*(1+D24))</f>
        <v>0</v>
      </c>
      <c r="F24" s="19">
        <f>IF(C24=0,0,C24*(1+Market_Input!E24))</f>
        <v>0</v>
      </c>
      <c r="G24" s="19">
        <f t="shared" si="0"/>
        <v>0</v>
      </c>
      <c r="H24" s="11">
        <f>IFERROR(_xlfn.XLOOKUP(Client_Info!$B$8,FX_Rates!$A$2:$A$13,FX_Rates!$C$2:$C$13,1),1)</f>
        <v>0</v>
      </c>
      <c r="I24" s="6">
        <f t="shared" si="1"/>
        <v>0</v>
      </c>
      <c r="J24" s="6">
        <f t="shared" si="2"/>
        <v>0</v>
      </c>
      <c r="K24" s="6">
        <f t="shared" si="3"/>
        <v>0</v>
      </c>
      <c r="L24" s="6">
        <f t="shared" si="4"/>
        <v>0</v>
      </c>
    </row>
    <row r="25" spans="1:12" x14ac:dyDescent="0.3">
      <c r="A25" s="17">
        <v>24</v>
      </c>
      <c r="B25" s="19">
        <f>Product_Input!M25</f>
        <v>0</v>
      </c>
      <c r="C25" s="19">
        <f>IF(B25=0,0,B25*(1+Product_Input!K25))</f>
        <v>0</v>
      </c>
      <c r="D25" s="10" cm="1">
        <f t="array" ref="D25">IFERROR(_xlfn.IFS(Product_Input!L25="Budget",-0.05,Product_Input!L25="Mid",0,Product_Input!L25="Premium",0.1),0)</f>
        <v>0</v>
      </c>
      <c r="E25" s="19">
        <f>IF(Market_Input!B25="",0,Market_Input!B25*(1+D25))</f>
        <v>0</v>
      </c>
      <c r="F25" s="19">
        <f>IF(C25=0,0,C25*(1+Market_Input!E25))</f>
        <v>0</v>
      </c>
      <c r="G25" s="19">
        <f t="shared" si="0"/>
        <v>0</v>
      </c>
      <c r="H25" s="11">
        <f>IFERROR(_xlfn.XLOOKUP(Client_Info!$B$8,FX_Rates!$A$2:$A$13,FX_Rates!$C$2:$C$13,1),1)</f>
        <v>0</v>
      </c>
      <c r="I25" s="6">
        <f t="shared" si="1"/>
        <v>0</v>
      </c>
      <c r="J25" s="6">
        <f t="shared" si="2"/>
        <v>0</v>
      </c>
      <c r="K25" s="6">
        <f t="shared" si="3"/>
        <v>0</v>
      </c>
      <c r="L25" s="6">
        <f t="shared" si="4"/>
        <v>0</v>
      </c>
    </row>
    <row r="26" spans="1:12" x14ac:dyDescent="0.3">
      <c r="A26" s="17">
        <v>25</v>
      </c>
      <c r="B26" s="19">
        <f>Product_Input!M26</f>
        <v>0</v>
      </c>
      <c r="C26" s="19">
        <f>IF(B26=0,0,B26*(1+Product_Input!K26))</f>
        <v>0</v>
      </c>
      <c r="D26" s="10" cm="1">
        <f t="array" ref="D26">IFERROR(_xlfn.IFS(Product_Input!L26="Budget",-0.05,Product_Input!L26="Mid",0,Product_Input!L26="Premium",0.1),0)</f>
        <v>0</v>
      </c>
      <c r="E26" s="19">
        <f>IF(Market_Input!B26="",0,Market_Input!B26*(1+D26))</f>
        <v>0</v>
      </c>
      <c r="F26" s="19">
        <f>IF(C26=0,0,C26*(1+Market_Input!E26))</f>
        <v>0</v>
      </c>
      <c r="G26" s="19">
        <f t="shared" si="0"/>
        <v>0</v>
      </c>
      <c r="H26" s="11">
        <f>IFERROR(_xlfn.XLOOKUP(Client_Info!$B$8,FX_Rates!$A$2:$A$13,FX_Rates!$C$2:$C$13,1),1)</f>
        <v>0</v>
      </c>
      <c r="I26" s="6">
        <f t="shared" si="1"/>
        <v>0</v>
      </c>
      <c r="J26" s="6">
        <f t="shared" si="2"/>
        <v>0</v>
      </c>
      <c r="K26" s="6">
        <f t="shared" si="3"/>
        <v>0</v>
      </c>
      <c r="L26" s="6">
        <f t="shared" si="4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8A11-C94B-4C45-A80C-A00338BC2EC3}">
  <dimension ref="A1:H26"/>
  <sheetViews>
    <sheetView workbookViewId="0"/>
  </sheetViews>
  <sheetFormatPr defaultRowHeight="14.4" x14ac:dyDescent="0.3"/>
  <cols>
    <col min="1" max="1" width="8.88671875" bestFit="1" customWidth="1"/>
    <col min="2" max="2" width="15.6640625" bestFit="1" customWidth="1"/>
    <col min="3" max="3" width="15.33203125" bestFit="1" customWidth="1"/>
    <col min="4" max="4" width="16.5546875" bestFit="1" customWidth="1"/>
    <col min="5" max="5" width="13.109375" bestFit="1" customWidth="1"/>
    <col min="6" max="6" width="12.33203125" bestFit="1" customWidth="1"/>
    <col min="7" max="7" width="12" bestFit="1" customWidth="1"/>
    <col min="8" max="8" width="13.33203125" bestFit="1" customWidth="1"/>
  </cols>
  <sheetData>
    <row r="1" spans="1:8" x14ac:dyDescent="0.3">
      <c r="A1" s="22" t="s">
        <v>39</v>
      </c>
      <c r="B1" s="22" t="s">
        <v>16</v>
      </c>
      <c r="C1" s="22" t="s">
        <v>17</v>
      </c>
      <c r="D1" s="22" t="s">
        <v>18</v>
      </c>
      <c r="E1" s="22" t="s">
        <v>60</v>
      </c>
      <c r="F1" s="22" t="s">
        <v>41</v>
      </c>
      <c r="G1" s="22" t="s">
        <v>42</v>
      </c>
      <c r="H1" s="22" t="s">
        <v>43</v>
      </c>
    </row>
    <row r="2" spans="1:8" x14ac:dyDescent="0.3">
      <c r="A2" s="17">
        <v>1</v>
      </c>
      <c r="B2" s="19">
        <f>Pricing_Logic!C2</f>
        <v>0</v>
      </c>
      <c r="C2" s="19">
        <f t="shared" ref="C2:C26" si="0">B2*1.05</f>
        <v>0</v>
      </c>
      <c r="D2" s="19">
        <f t="shared" ref="D2:D26" si="1">B2*0.95</f>
        <v>0</v>
      </c>
      <c r="E2" s="23">
        <f>IF(Market_Input!I2="",0,Market_Input!I2*IF(Market_Input!J2="",1,Market_Input!J2))</f>
        <v>0</v>
      </c>
      <c r="F2" s="6">
        <f t="shared" ref="F2:F26" si="2">B2*E2</f>
        <v>0</v>
      </c>
      <c r="G2" s="6">
        <f t="shared" ref="G2:G26" si="3">C2*E2</f>
        <v>0</v>
      </c>
      <c r="H2" s="6">
        <f t="shared" ref="H2:H26" si="4">D2*E2</f>
        <v>0</v>
      </c>
    </row>
    <row r="3" spans="1:8" x14ac:dyDescent="0.3">
      <c r="A3" s="17">
        <v>2</v>
      </c>
      <c r="B3" s="19">
        <f>Pricing_Logic!C3</f>
        <v>0</v>
      </c>
      <c r="C3" s="19">
        <f t="shared" si="0"/>
        <v>0</v>
      </c>
      <c r="D3" s="19">
        <f t="shared" si="1"/>
        <v>0</v>
      </c>
      <c r="E3" s="23">
        <f>IF(Market_Input!I3="",0,Market_Input!I3*IF(Market_Input!J3="",1,Market_Input!J3))</f>
        <v>0</v>
      </c>
      <c r="F3" s="6">
        <f t="shared" si="2"/>
        <v>0</v>
      </c>
      <c r="G3" s="6">
        <f t="shared" si="3"/>
        <v>0</v>
      </c>
      <c r="H3" s="6">
        <f t="shared" si="4"/>
        <v>0</v>
      </c>
    </row>
    <row r="4" spans="1:8" x14ac:dyDescent="0.3">
      <c r="A4" s="17">
        <v>3</v>
      </c>
      <c r="B4" s="19">
        <f>Pricing_Logic!C4</f>
        <v>0</v>
      </c>
      <c r="C4" s="19">
        <f t="shared" si="0"/>
        <v>0</v>
      </c>
      <c r="D4" s="19">
        <f t="shared" si="1"/>
        <v>0</v>
      </c>
      <c r="E4" s="23">
        <f>IF(Market_Input!I4="",0,Market_Input!I4*IF(Market_Input!J4="",1,Market_Input!J4))</f>
        <v>0</v>
      </c>
      <c r="F4" s="6">
        <f t="shared" si="2"/>
        <v>0</v>
      </c>
      <c r="G4" s="6">
        <f t="shared" si="3"/>
        <v>0</v>
      </c>
      <c r="H4" s="6">
        <f t="shared" si="4"/>
        <v>0</v>
      </c>
    </row>
    <row r="5" spans="1:8" x14ac:dyDescent="0.3">
      <c r="A5" s="17">
        <v>4</v>
      </c>
      <c r="B5" s="19">
        <f>Pricing_Logic!C5</f>
        <v>0</v>
      </c>
      <c r="C5" s="19">
        <f t="shared" si="0"/>
        <v>0</v>
      </c>
      <c r="D5" s="19">
        <f t="shared" si="1"/>
        <v>0</v>
      </c>
      <c r="E5" s="23">
        <f>IF(Market_Input!I5="",0,Market_Input!I5*IF(Market_Input!J5="",1,Market_Input!J5))</f>
        <v>0</v>
      </c>
      <c r="F5" s="6">
        <f t="shared" si="2"/>
        <v>0</v>
      </c>
      <c r="G5" s="6">
        <f t="shared" si="3"/>
        <v>0</v>
      </c>
      <c r="H5" s="6">
        <f t="shared" si="4"/>
        <v>0</v>
      </c>
    </row>
    <row r="6" spans="1:8" x14ac:dyDescent="0.3">
      <c r="A6" s="17">
        <v>5</v>
      </c>
      <c r="B6" s="19">
        <f>Pricing_Logic!C6</f>
        <v>0</v>
      </c>
      <c r="C6" s="19">
        <f t="shared" si="0"/>
        <v>0</v>
      </c>
      <c r="D6" s="19">
        <f t="shared" si="1"/>
        <v>0</v>
      </c>
      <c r="E6" s="23">
        <f>IF(Market_Input!I6="",0,Market_Input!I6*IF(Market_Input!J6="",1,Market_Input!J6))</f>
        <v>0</v>
      </c>
      <c r="F6" s="6">
        <f t="shared" si="2"/>
        <v>0</v>
      </c>
      <c r="G6" s="6">
        <f t="shared" si="3"/>
        <v>0</v>
      </c>
      <c r="H6" s="6">
        <f t="shared" si="4"/>
        <v>0</v>
      </c>
    </row>
    <row r="7" spans="1:8" x14ac:dyDescent="0.3">
      <c r="A7" s="17">
        <v>6</v>
      </c>
      <c r="B7" s="19">
        <f>Pricing_Logic!C7</f>
        <v>0</v>
      </c>
      <c r="C7" s="19">
        <f t="shared" si="0"/>
        <v>0</v>
      </c>
      <c r="D7" s="19">
        <f t="shared" si="1"/>
        <v>0</v>
      </c>
      <c r="E7" s="23">
        <f>IF(Market_Input!I7="",0,Market_Input!I7*IF(Market_Input!J7="",1,Market_Input!J7))</f>
        <v>0</v>
      </c>
      <c r="F7" s="6">
        <f t="shared" si="2"/>
        <v>0</v>
      </c>
      <c r="G7" s="6">
        <f t="shared" si="3"/>
        <v>0</v>
      </c>
      <c r="H7" s="6">
        <f t="shared" si="4"/>
        <v>0</v>
      </c>
    </row>
    <row r="8" spans="1:8" x14ac:dyDescent="0.3">
      <c r="A8" s="17">
        <v>7</v>
      </c>
      <c r="B8" s="19">
        <f>Pricing_Logic!C8</f>
        <v>0</v>
      </c>
      <c r="C8" s="19">
        <f t="shared" si="0"/>
        <v>0</v>
      </c>
      <c r="D8" s="19">
        <f t="shared" si="1"/>
        <v>0</v>
      </c>
      <c r="E8" s="23">
        <f>IF(Market_Input!I8="",0,Market_Input!I8*IF(Market_Input!J8="",1,Market_Input!J8))</f>
        <v>0</v>
      </c>
      <c r="F8" s="6">
        <f t="shared" si="2"/>
        <v>0</v>
      </c>
      <c r="G8" s="6">
        <f t="shared" si="3"/>
        <v>0</v>
      </c>
      <c r="H8" s="6">
        <f t="shared" si="4"/>
        <v>0</v>
      </c>
    </row>
    <row r="9" spans="1:8" x14ac:dyDescent="0.3">
      <c r="A9" s="17">
        <v>8</v>
      </c>
      <c r="B9" s="19">
        <f>Pricing_Logic!C9</f>
        <v>0</v>
      </c>
      <c r="C9" s="19">
        <f t="shared" si="0"/>
        <v>0</v>
      </c>
      <c r="D9" s="19">
        <f t="shared" si="1"/>
        <v>0</v>
      </c>
      <c r="E9" s="23">
        <f>IF(Market_Input!I9="",0,Market_Input!I9*IF(Market_Input!J9="",1,Market_Input!J9))</f>
        <v>0</v>
      </c>
      <c r="F9" s="6">
        <f t="shared" si="2"/>
        <v>0</v>
      </c>
      <c r="G9" s="6">
        <f t="shared" si="3"/>
        <v>0</v>
      </c>
      <c r="H9" s="6">
        <f t="shared" si="4"/>
        <v>0</v>
      </c>
    </row>
    <row r="10" spans="1:8" x14ac:dyDescent="0.3">
      <c r="A10" s="17">
        <v>9</v>
      </c>
      <c r="B10" s="19">
        <f>Pricing_Logic!C10</f>
        <v>0</v>
      </c>
      <c r="C10" s="19">
        <f t="shared" si="0"/>
        <v>0</v>
      </c>
      <c r="D10" s="19">
        <f t="shared" si="1"/>
        <v>0</v>
      </c>
      <c r="E10" s="23">
        <f>IF(Market_Input!I10="",0,Market_Input!I10*IF(Market_Input!J10="",1,Market_Input!J10))</f>
        <v>0</v>
      </c>
      <c r="F10" s="6">
        <f t="shared" si="2"/>
        <v>0</v>
      </c>
      <c r="G10" s="6">
        <f t="shared" si="3"/>
        <v>0</v>
      </c>
      <c r="H10" s="6">
        <f t="shared" si="4"/>
        <v>0</v>
      </c>
    </row>
    <row r="11" spans="1:8" x14ac:dyDescent="0.3">
      <c r="A11" s="17">
        <v>10</v>
      </c>
      <c r="B11" s="19">
        <f>Pricing_Logic!C11</f>
        <v>0</v>
      </c>
      <c r="C11" s="19">
        <f t="shared" si="0"/>
        <v>0</v>
      </c>
      <c r="D11" s="19">
        <f t="shared" si="1"/>
        <v>0</v>
      </c>
      <c r="E11" s="23">
        <f>IF(Market_Input!I11="",0,Market_Input!I11*IF(Market_Input!J11="",1,Market_Input!J11))</f>
        <v>0</v>
      </c>
      <c r="F11" s="6">
        <f t="shared" si="2"/>
        <v>0</v>
      </c>
      <c r="G11" s="6">
        <f t="shared" si="3"/>
        <v>0</v>
      </c>
      <c r="H11" s="6">
        <f t="shared" si="4"/>
        <v>0</v>
      </c>
    </row>
    <row r="12" spans="1:8" x14ac:dyDescent="0.3">
      <c r="A12" s="17">
        <v>11</v>
      </c>
      <c r="B12" s="19">
        <f>Pricing_Logic!C12</f>
        <v>0</v>
      </c>
      <c r="C12" s="19">
        <f t="shared" si="0"/>
        <v>0</v>
      </c>
      <c r="D12" s="19">
        <f t="shared" si="1"/>
        <v>0</v>
      </c>
      <c r="E12" s="23">
        <f>IF(Market_Input!I12="",0,Market_Input!I12*IF(Market_Input!J12="",1,Market_Input!J12))</f>
        <v>0</v>
      </c>
      <c r="F12" s="6">
        <f t="shared" si="2"/>
        <v>0</v>
      </c>
      <c r="G12" s="6">
        <f t="shared" si="3"/>
        <v>0</v>
      </c>
      <c r="H12" s="6">
        <f t="shared" si="4"/>
        <v>0</v>
      </c>
    </row>
    <row r="13" spans="1:8" x14ac:dyDescent="0.3">
      <c r="A13" s="17">
        <v>12</v>
      </c>
      <c r="B13" s="19">
        <f>Pricing_Logic!C13</f>
        <v>0</v>
      </c>
      <c r="C13" s="19">
        <f t="shared" si="0"/>
        <v>0</v>
      </c>
      <c r="D13" s="19">
        <f t="shared" si="1"/>
        <v>0</v>
      </c>
      <c r="E13" s="23">
        <f>IF(Market_Input!I13="",0,Market_Input!I13*IF(Market_Input!J13="",1,Market_Input!J13))</f>
        <v>0</v>
      </c>
      <c r="F13" s="6">
        <f t="shared" si="2"/>
        <v>0</v>
      </c>
      <c r="G13" s="6">
        <f t="shared" si="3"/>
        <v>0</v>
      </c>
      <c r="H13" s="6">
        <f t="shared" si="4"/>
        <v>0</v>
      </c>
    </row>
    <row r="14" spans="1:8" x14ac:dyDescent="0.3">
      <c r="A14" s="17">
        <v>13</v>
      </c>
      <c r="B14" s="19">
        <f>Pricing_Logic!C14</f>
        <v>0</v>
      </c>
      <c r="C14" s="19">
        <f t="shared" si="0"/>
        <v>0</v>
      </c>
      <c r="D14" s="19">
        <f t="shared" si="1"/>
        <v>0</v>
      </c>
      <c r="E14" s="23">
        <f>IF(Market_Input!I14="",0,Market_Input!I14*IF(Market_Input!J14="",1,Market_Input!J14))</f>
        <v>0</v>
      </c>
      <c r="F14" s="6">
        <f t="shared" si="2"/>
        <v>0</v>
      </c>
      <c r="G14" s="6">
        <f t="shared" si="3"/>
        <v>0</v>
      </c>
      <c r="H14" s="6">
        <f t="shared" si="4"/>
        <v>0</v>
      </c>
    </row>
    <row r="15" spans="1:8" x14ac:dyDescent="0.3">
      <c r="A15" s="17">
        <v>14</v>
      </c>
      <c r="B15" s="19">
        <f>Pricing_Logic!C15</f>
        <v>0</v>
      </c>
      <c r="C15" s="19">
        <f t="shared" si="0"/>
        <v>0</v>
      </c>
      <c r="D15" s="19">
        <f t="shared" si="1"/>
        <v>0</v>
      </c>
      <c r="E15" s="23">
        <f>IF(Market_Input!I15="",0,Market_Input!I15*IF(Market_Input!J15="",1,Market_Input!J15))</f>
        <v>0</v>
      </c>
      <c r="F15" s="6">
        <f t="shared" si="2"/>
        <v>0</v>
      </c>
      <c r="G15" s="6">
        <f t="shared" si="3"/>
        <v>0</v>
      </c>
      <c r="H15" s="6">
        <f t="shared" si="4"/>
        <v>0</v>
      </c>
    </row>
    <row r="16" spans="1:8" x14ac:dyDescent="0.3">
      <c r="A16" s="17">
        <v>15</v>
      </c>
      <c r="B16" s="19">
        <f>Pricing_Logic!C16</f>
        <v>0</v>
      </c>
      <c r="C16" s="19">
        <f t="shared" si="0"/>
        <v>0</v>
      </c>
      <c r="D16" s="19">
        <f t="shared" si="1"/>
        <v>0</v>
      </c>
      <c r="E16" s="23">
        <f>IF(Market_Input!I16="",0,Market_Input!I16*IF(Market_Input!J16="",1,Market_Input!J16))</f>
        <v>0</v>
      </c>
      <c r="F16" s="6">
        <f t="shared" si="2"/>
        <v>0</v>
      </c>
      <c r="G16" s="6">
        <f t="shared" si="3"/>
        <v>0</v>
      </c>
      <c r="H16" s="6">
        <f t="shared" si="4"/>
        <v>0</v>
      </c>
    </row>
    <row r="17" spans="1:8" x14ac:dyDescent="0.3">
      <c r="A17" s="17">
        <v>16</v>
      </c>
      <c r="B17" s="19">
        <f>Pricing_Logic!C17</f>
        <v>0</v>
      </c>
      <c r="C17" s="19">
        <f t="shared" si="0"/>
        <v>0</v>
      </c>
      <c r="D17" s="19">
        <f t="shared" si="1"/>
        <v>0</v>
      </c>
      <c r="E17" s="23">
        <f>IF(Market_Input!I17="",0,Market_Input!I17*IF(Market_Input!J17="",1,Market_Input!J17))</f>
        <v>0</v>
      </c>
      <c r="F17" s="6">
        <f t="shared" si="2"/>
        <v>0</v>
      </c>
      <c r="G17" s="6">
        <f t="shared" si="3"/>
        <v>0</v>
      </c>
      <c r="H17" s="6">
        <f t="shared" si="4"/>
        <v>0</v>
      </c>
    </row>
    <row r="18" spans="1:8" x14ac:dyDescent="0.3">
      <c r="A18" s="17">
        <v>17</v>
      </c>
      <c r="B18" s="19">
        <f>Pricing_Logic!C18</f>
        <v>0</v>
      </c>
      <c r="C18" s="19">
        <f t="shared" si="0"/>
        <v>0</v>
      </c>
      <c r="D18" s="19">
        <f t="shared" si="1"/>
        <v>0</v>
      </c>
      <c r="E18" s="23">
        <f>IF(Market_Input!I18="",0,Market_Input!I18*IF(Market_Input!J18="",1,Market_Input!J18))</f>
        <v>0</v>
      </c>
      <c r="F18" s="6">
        <f t="shared" si="2"/>
        <v>0</v>
      </c>
      <c r="G18" s="6">
        <f t="shared" si="3"/>
        <v>0</v>
      </c>
      <c r="H18" s="6">
        <f t="shared" si="4"/>
        <v>0</v>
      </c>
    </row>
    <row r="19" spans="1:8" x14ac:dyDescent="0.3">
      <c r="A19" s="17">
        <v>18</v>
      </c>
      <c r="B19" s="19">
        <f>Pricing_Logic!C19</f>
        <v>0</v>
      </c>
      <c r="C19" s="19">
        <f t="shared" si="0"/>
        <v>0</v>
      </c>
      <c r="D19" s="19">
        <f t="shared" si="1"/>
        <v>0</v>
      </c>
      <c r="E19" s="23">
        <f>IF(Market_Input!I19="",0,Market_Input!I19*IF(Market_Input!J19="",1,Market_Input!J19))</f>
        <v>0</v>
      </c>
      <c r="F19" s="6">
        <f t="shared" si="2"/>
        <v>0</v>
      </c>
      <c r="G19" s="6">
        <f t="shared" si="3"/>
        <v>0</v>
      </c>
      <c r="H19" s="6">
        <f t="shared" si="4"/>
        <v>0</v>
      </c>
    </row>
    <row r="20" spans="1:8" x14ac:dyDescent="0.3">
      <c r="A20" s="17">
        <v>19</v>
      </c>
      <c r="B20" s="19">
        <f>Pricing_Logic!C20</f>
        <v>0</v>
      </c>
      <c r="C20" s="19">
        <f t="shared" si="0"/>
        <v>0</v>
      </c>
      <c r="D20" s="19">
        <f t="shared" si="1"/>
        <v>0</v>
      </c>
      <c r="E20" s="23">
        <f>IF(Market_Input!I20="",0,Market_Input!I20*IF(Market_Input!J20="",1,Market_Input!J20))</f>
        <v>0</v>
      </c>
      <c r="F20" s="6">
        <f t="shared" si="2"/>
        <v>0</v>
      </c>
      <c r="G20" s="6">
        <f t="shared" si="3"/>
        <v>0</v>
      </c>
      <c r="H20" s="6">
        <f t="shared" si="4"/>
        <v>0</v>
      </c>
    </row>
    <row r="21" spans="1:8" x14ac:dyDescent="0.3">
      <c r="A21" s="17">
        <v>20</v>
      </c>
      <c r="B21" s="19">
        <f>Pricing_Logic!C21</f>
        <v>0</v>
      </c>
      <c r="C21" s="19">
        <f t="shared" si="0"/>
        <v>0</v>
      </c>
      <c r="D21" s="19">
        <f t="shared" si="1"/>
        <v>0</v>
      </c>
      <c r="E21" s="23">
        <f>IF(Market_Input!I21="",0,Market_Input!I21*IF(Market_Input!J21="",1,Market_Input!J21))</f>
        <v>0</v>
      </c>
      <c r="F21" s="6">
        <f t="shared" si="2"/>
        <v>0</v>
      </c>
      <c r="G21" s="6">
        <f t="shared" si="3"/>
        <v>0</v>
      </c>
      <c r="H21" s="6">
        <f t="shared" si="4"/>
        <v>0</v>
      </c>
    </row>
    <row r="22" spans="1:8" x14ac:dyDescent="0.3">
      <c r="A22" s="17">
        <v>21</v>
      </c>
      <c r="B22" s="19">
        <f>Pricing_Logic!C22</f>
        <v>0</v>
      </c>
      <c r="C22" s="19">
        <f t="shared" si="0"/>
        <v>0</v>
      </c>
      <c r="D22" s="19">
        <f t="shared" si="1"/>
        <v>0</v>
      </c>
      <c r="E22" s="23">
        <f>IF(Market_Input!I22="",0,Market_Input!I22*IF(Market_Input!J22="",1,Market_Input!J22))</f>
        <v>0</v>
      </c>
      <c r="F22" s="6">
        <f t="shared" si="2"/>
        <v>0</v>
      </c>
      <c r="G22" s="6">
        <f t="shared" si="3"/>
        <v>0</v>
      </c>
      <c r="H22" s="6">
        <f t="shared" si="4"/>
        <v>0</v>
      </c>
    </row>
    <row r="23" spans="1:8" x14ac:dyDescent="0.3">
      <c r="A23" s="17">
        <v>22</v>
      </c>
      <c r="B23" s="19">
        <f>Pricing_Logic!C23</f>
        <v>0</v>
      </c>
      <c r="C23" s="19">
        <f t="shared" si="0"/>
        <v>0</v>
      </c>
      <c r="D23" s="19">
        <f t="shared" si="1"/>
        <v>0</v>
      </c>
      <c r="E23" s="23">
        <f>IF(Market_Input!I23="",0,Market_Input!I23*IF(Market_Input!J23="",1,Market_Input!J23))</f>
        <v>0</v>
      </c>
      <c r="F23" s="6">
        <f t="shared" si="2"/>
        <v>0</v>
      </c>
      <c r="G23" s="6">
        <f t="shared" si="3"/>
        <v>0</v>
      </c>
      <c r="H23" s="6">
        <f t="shared" si="4"/>
        <v>0</v>
      </c>
    </row>
    <row r="24" spans="1:8" x14ac:dyDescent="0.3">
      <c r="A24" s="17">
        <v>23</v>
      </c>
      <c r="B24" s="19">
        <f>Pricing_Logic!C24</f>
        <v>0</v>
      </c>
      <c r="C24" s="19">
        <f t="shared" si="0"/>
        <v>0</v>
      </c>
      <c r="D24" s="19">
        <f t="shared" si="1"/>
        <v>0</v>
      </c>
      <c r="E24" s="23">
        <f>IF(Market_Input!I24="",0,Market_Input!I24*IF(Market_Input!J24="",1,Market_Input!J24))</f>
        <v>0</v>
      </c>
      <c r="F24" s="6">
        <f t="shared" si="2"/>
        <v>0</v>
      </c>
      <c r="G24" s="6">
        <f t="shared" si="3"/>
        <v>0</v>
      </c>
      <c r="H24" s="6">
        <f t="shared" si="4"/>
        <v>0</v>
      </c>
    </row>
    <row r="25" spans="1:8" x14ac:dyDescent="0.3">
      <c r="A25" s="17">
        <v>24</v>
      </c>
      <c r="B25" s="19">
        <f>Pricing_Logic!C25</f>
        <v>0</v>
      </c>
      <c r="C25" s="19">
        <f t="shared" si="0"/>
        <v>0</v>
      </c>
      <c r="D25" s="19">
        <f t="shared" si="1"/>
        <v>0</v>
      </c>
      <c r="E25" s="23">
        <f>IF(Market_Input!I25="",0,Market_Input!I25*IF(Market_Input!J25="",1,Market_Input!J25))</f>
        <v>0</v>
      </c>
      <c r="F25" s="6">
        <f t="shared" si="2"/>
        <v>0</v>
      </c>
      <c r="G25" s="6">
        <f t="shared" si="3"/>
        <v>0</v>
      </c>
      <c r="H25" s="6">
        <f t="shared" si="4"/>
        <v>0</v>
      </c>
    </row>
    <row r="26" spans="1:8" x14ac:dyDescent="0.3">
      <c r="A26" s="17">
        <v>25</v>
      </c>
      <c r="B26" s="19">
        <f>Pricing_Logic!C26</f>
        <v>0</v>
      </c>
      <c r="C26" s="19">
        <f t="shared" si="0"/>
        <v>0</v>
      </c>
      <c r="D26" s="19">
        <f t="shared" si="1"/>
        <v>0</v>
      </c>
      <c r="E26" s="23">
        <f>IF(Market_Input!I26="",0,Market_Input!I26*IF(Market_Input!J26="",1,Market_Input!J26))</f>
        <v>0</v>
      </c>
      <c r="F26" s="6">
        <f t="shared" si="2"/>
        <v>0</v>
      </c>
      <c r="G26" s="6">
        <f t="shared" si="3"/>
        <v>0</v>
      </c>
      <c r="H26" s="6">
        <f t="shared" si="4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D928D-6530-4053-8554-86C3DF02C19F}">
  <dimension ref="A1:K26"/>
  <sheetViews>
    <sheetView topLeftCell="C1" workbookViewId="0"/>
  </sheetViews>
  <sheetFormatPr defaultRowHeight="14.4" x14ac:dyDescent="0.3"/>
  <cols>
    <col min="1" max="1" width="8.88671875" bestFit="1" customWidth="1"/>
    <col min="2" max="2" width="12.88671875" bestFit="1" customWidth="1"/>
    <col min="3" max="3" width="20" bestFit="1" customWidth="1"/>
    <col min="4" max="4" width="19.109375" bestFit="1" customWidth="1"/>
    <col min="5" max="5" width="16.5546875" bestFit="1" customWidth="1"/>
    <col min="6" max="6" width="15.6640625" bestFit="1" customWidth="1"/>
    <col min="7" max="7" width="16" bestFit="1" customWidth="1"/>
    <col min="8" max="8" width="8.44140625" bestFit="1" customWidth="1"/>
    <col min="9" max="9" width="9.109375" bestFit="1" customWidth="1"/>
    <col min="10" max="10" width="9.44140625" bestFit="1" customWidth="1"/>
    <col min="11" max="11" width="10.33203125" bestFit="1" customWidth="1"/>
  </cols>
  <sheetData>
    <row r="1" spans="1:11" x14ac:dyDescent="0.3">
      <c r="A1" s="13" t="s">
        <v>39</v>
      </c>
      <c r="B1" s="13" t="s">
        <v>10</v>
      </c>
      <c r="C1" s="13" t="s">
        <v>61</v>
      </c>
      <c r="D1" s="13" t="s">
        <v>62</v>
      </c>
      <c r="E1" s="13" t="s">
        <v>55</v>
      </c>
      <c r="F1" s="13" t="s">
        <v>59</v>
      </c>
      <c r="G1" s="13" t="s">
        <v>21</v>
      </c>
      <c r="H1" s="13" t="s">
        <v>44</v>
      </c>
      <c r="I1" s="13" t="s">
        <v>63</v>
      </c>
      <c r="J1" s="13" t="s">
        <v>64</v>
      </c>
      <c r="K1" s="13" t="s">
        <v>65</v>
      </c>
    </row>
    <row r="2" spans="1:11" x14ac:dyDescent="0.3">
      <c r="A2" s="17">
        <v>1</v>
      </c>
      <c r="B2" s="4">
        <f>Product_Input!B2</f>
        <v>0</v>
      </c>
      <c r="C2" s="19">
        <f>IF(Pricing_Logic!C2+Pricing_Logic!E2=0,0,(Pricing_Logic!C2+Pricing_Logic!E2)/2)</f>
        <v>0</v>
      </c>
      <c r="D2" s="6">
        <f t="shared" ref="D2:D26" si="0">C2*FX_Rate</f>
        <v>0</v>
      </c>
      <c r="E2" s="19">
        <f>Pricing_Logic!G2</f>
        <v>0</v>
      </c>
      <c r="F2" s="6">
        <f>Pricing_Logic!L2</f>
        <v>0</v>
      </c>
      <c r="G2" s="4" t="str">
        <f>IF(Market_Input!C2="","N/A",Market_Input!C2&amp;" - "&amp;Market_Input!D2)</f>
        <v>N/A</v>
      </c>
      <c r="H2" s="12">
        <f>IF(C2=0,0,(C2-Pricing_Logic!B2)/C2)</f>
        <v>0</v>
      </c>
      <c r="I2" s="19">
        <f>Scenarios!C2</f>
        <v>0</v>
      </c>
      <c r="J2" s="19">
        <f>Scenarios!B2</f>
        <v>0</v>
      </c>
      <c r="K2" s="19">
        <f>Scenarios!D2</f>
        <v>0</v>
      </c>
    </row>
    <row r="3" spans="1:11" x14ac:dyDescent="0.3">
      <c r="A3" s="17">
        <v>2</v>
      </c>
      <c r="B3" s="4">
        <f>Product_Input!B3</f>
        <v>0</v>
      </c>
      <c r="C3" s="19">
        <f>IF(Pricing_Logic!C3+Pricing_Logic!E3=0,0,(Pricing_Logic!C3+Pricing_Logic!E3)/2)</f>
        <v>0</v>
      </c>
      <c r="D3" s="6">
        <f t="shared" si="0"/>
        <v>0</v>
      </c>
      <c r="E3" s="19">
        <f>Pricing_Logic!G3</f>
        <v>0</v>
      </c>
      <c r="F3" s="6">
        <f>Pricing_Logic!L3</f>
        <v>0</v>
      </c>
      <c r="G3" s="4" t="str">
        <f>IF(Market_Input!C3="","N/A",Market_Input!C3&amp;" - "&amp;Market_Input!D3)</f>
        <v>N/A</v>
      </c>
      <c r="H3" s="12">
        <f>IF(C3=0,0,(C3-Pricing_Logic!B3)/C3)</f>
        <v>0</v>
      </c>
      <c r="I3" s="19">
        <f>Scenarios!C3</f>
        <v>0</v>
      </c>
      <c r="J3" s="19">
        <f>Scenarios!B3</f>
        <v>0</v>
      </c>
      <c r="K3" s="19">
        <f>Scenarios!D3</f>
        <v>0</v>
      </c>
    </row>
    <row r="4" spans="1:11" x14ac:dyDescent="0.3">
      <c r="A4" s="17">
        <v>3</v>
      </c>
      <c r="B4" s="4">
        <f>Product_Input!B4</f>
        <v>0</v>
      </c>
      <c r="C4" s="19">
        <f>IF(Pricing_Logic!C4+Pricing_Logic!E4=0,0,(Pricing_Logic!C4+Pricing_Logic!E4)/2)</f>
        <v>0</v>
      </c>
      <c r="D4" s="6">
        <f t="shared" si="0"/>
        <v>0</v>
      </c>
      <c r="E4" s="19">
        <f>Pricing_Logic!G4</f>
        <v>0</v>
      </c>
      <c r="F4" s="6">
        <f>Pricing_Logic!L4</f>
        <v>0</v>
      </c>
      <c r="G4" s="4" t="str">
        <f>IF(Market_Input!C4="","N/A",Market_Input!C4&amp;" - "&amp;Market_Input!D4)</f>
        <v>N/A</v>
      </c>
      <c r="H4" s="12">
        <f>IF(C4=0,0,(C4-Pricing_Logic!B4)/C4)</f>
        <v>0</v>
      </c>
      <c r="I4" s="19">
        <f>Scenarios!C4</f>
        <v>0</v>
      </c>
      <c r="J4" s="19">
        <f>Scenarios!B4</f>
        <v>0</v>
      </c>
      <c r="K4" s="19">
        <f>Scenarios!D4</f>
        <v>0</v>
      </c>
    </row>
    <row r="5" spans="1:11" x14ac:dyDescent="0.3">
      <c r="A5" s="17">
        <v>4</v>
      </c>
      <c r="B5" s="4">
        <f>Product_Input!B5</f>
        <v>0</v>
      </c>
      <c r="C5" s="19">
        <f>IF(Pricing_Logic!C5+Pricing_Logic!E5=0,0,(Pricing_Logic!C5+Pricing_Logic!E5)/2)</f>
        <v>0</v>
      </c>
      <c r="D5" s="6">
        <f t="shared" si="0"/>
        <v>0</v>
      </c>
      <c r="E5" s="19">
        <f>Pricing_Logic!G5</f>
        <v>0</v>
      </c>
      <c r="F5" s="6">
        <f>Pricing_Logic!L5</f>
        <v>0</v>
      </c>
      <c r="G5" s="4" t="str">
        <f>IF(Market_Input!C5="","N/A",Market_Input!C5&amp;" - "&amp;Market_Input!D5)</f>
        <v>N/A</v>
      </c>
      <c r="H5" s="12">
        <f>IF(C5=0,0,(C5-Pricing_Logic!B5)/C5)</f>
        <v>0</v>
      </c>
      <c r="I5" s="19">
        <f>Scenarios!C5</f>
        <v>0</v>
      </c>
      <c r="J5" s="19">
        <f>Scenarios!B5</f>
        <v>0</v>
      </c>
      <c r="K5" s="19">
        <f>Scenarios!D5</f>
        <v>0</v>
      </c>
    </row>
    <row r="6" spans="1:11" x14ac:dyDescent="0.3">
      <c r="A6" s="17">
        <v>5</v>
      </c>
      <c r="B6" s="4">
        <f>Product_Input!B6</f>
        <v>0</v>
      </c>
      <c r="C6" s="19">
        <f>IF(Pricing_Logic!C6+Pricing_Logic!E6=0,0,(Pricing_Logic!C6+Pricing_Logic!E6)/2)</f>
        <v>0</v>
      </c>
      <c r="D6" s="6">
        <f t="shared" si="0"/>
        <v>0</v>
      </c>
      <c r="E6" s="19">
        <f>Pricing_Logic!G6</f>
        <v>0</v>
      </c>
      <c r="F6" s="6">
        <f>Pricing_Logic!L6</f>
        <v>0</v>
      </c>
      <c r="G6" s="4" t="str">
        <f>IF(Market_Input!C6="","N/A",Market_Input!C6&amp;" - "&amp;Market_Input!D6)</f>
        <v>N/A</v>
      </c>
      <c r="H6" s="12">
        <f>IF(C6=0,0,(C6-Pricing_Logic!B6)/C6)</f>
        <v>0</v>
      </c>
      <c r="I6" s="19">
        <f>Scenarios!C6</f>
        <v>0</v>
      </c>
      <c r="J6" s="19">
        <f>Scenarios!B6</f>
        <v>0</v>
      </c>
      <c r="K6" s="19">
        <f>Scenarios!D6</f>
        <v>0</v>
      </c>
    </row>
    <row r="7" spans="1:11" x14ac:dyDescent="0.3">
      <c r="A7" s="17">
        <v>6</v>
      </c>
      <c r="B7" s="4">
        <f>Product_Input!B7</f>
        <v>0</v>
      </c>
      <c r="C7" s="19">
        <f>IF(Pricing_Logic!C7+Pricing_Logic!E7=0,0,(Pricing_Logic!C7+Pricing_Logic!E7)/2)</f>
        <v>0</v>
      </c>
      <c r="D7" s="6">
        <f t="shared" si="0"/>
        <v>0</v>
      </c>
      <c r="E7" s="19">
        <f>Pricing_Logic!G7</f>
        <v>0</v>
      </c>
      <c r="F7" s="6">
        <f>Pricing_Logic!L7</f>
        <v>0</v>
      </c>
      <c r="G7" s="4" t="str">
        <f>IF(Market_Input!C7="","N/A",Market_Input!C7&amp;" - "&amp;Market_Input!D7)</f>
        <v>N/A</v>
      </c>
      <c r="H7" s="12">
        <f>IF(C7=0,0,(C7-Pricing_Logic!B7)/C7)</f>
        <v>0</v>
      </c>
      <c r="I7" s="19">
        <f>Scenarios!C7</f>
        <v>0</v>
      </c>
      <c r="J7" s="19">
        <f>Scenarios!B7</f>
        <v>0</v>
      </c>
      <c r="K7" s="19">
        <f>Scenarios!D7</f>
        <v>0</v>
      </c>
    </row>
    <row r="8" spans="1:11" x14ac:dyDescent="0.3">
      <c r="A8" s="17">
        <v>7</v>
      </c>
      <c r="B8" s="4">
        <f>Product_Input!B8</f>
        <v>0</v>
      </c>
      <c r="C8" s="19">
        <f>IF(Pricing_Logic!C8+Pricing_Logic!E8=0,0,(Pricing_Logic!C8+Pricing_Logic!E8)/2)</f>
        <v>0</v>
      </c>
      <c r="D8" s="6">
        <f t="shared" si="0"/>
        <v>0</v>
      </c>
      <c r="E8" s="19">
        <f>Pricing_Logic!G8</f>
        <v>0</v>
      </c>
      <c r="F8" s="6">
        <f>Pricing_Logic!L8</f>
        <v>0</v>
      </c>
      <c r="G8" s="4" t="str">
        <f>IF(Market_Input!C8="","N/A",Market_Input!C8&amp;" - "&amp;Market_Input!D8)</f>
        <v>N/A</v>
      </c>
      <c r="H8" s="12">
        <f>IF(C8=0,0,(C8-Pricing_Logic!B8)/C8)</f>
        <v>0</v>
      </c>
      <c r="I8" s="19">
        <f>Scenarios!C8</f>
        <v>0</v>
      </c>
      <c r="J8" s="19">
        <f>Scenarios!B8</f>
        <v>0</v>
      </c>
      <c r="K8" s="19">
        <f>Scenarios!D8</f>
        <v>0</v>
      </c>
    </row>
    <row r="9" spans="1:11" x14ac:dyDescent="0.3">
      <c r="A9" s="17">
        <v>8</v>
      </c>
      <c r="B9" s="4">
        <f>Product_Input!B9</f>
        <v>0</v>
      </c>
      <c r="C9" s="19">
        <f>IF(Pricing_Logic!C9+Pricing_Logic!E9=0,0,(Pricing_Logic!C9+Pricing_Logic!E9)/2)</f>
        <v>0</v>
      </c>
      <c r="D9" s="6">
        <f t="shared" si="0"/>
        <v>0</v>
      </c>
      <c r="E9" s="19">
        <f>Pricing_Logic!G9</f>
        <v>0</v>
      </c>
      <c r="F9" s="6">
        <f>Pricing_Logic!L9</f>
        <v>0</v>
      </c>
      <c r="G9" s="4" t="str">
        <f>IF(Market_Input!C9="","N/A",Market_Input!C9&amp;" - "&amp;Market_Input!D9)</f>
        <v>N/A</v>
      </c>
      <c r="H9" s="12">
        <f>IF(C9=0,0,(C9-Pricing_Logic!B9)/C9)</f>
        <v>0</v>
      </c>
      <c r="I9" s="19">
        <f>Scenarios!C9</f>
        <v>0</v>
      </c>
      <c r="J9" s="19">
        <f>Scenarios!B9</f>
        <v>0</v>
      </c>
      <c r="K9" s="19">
        <f>Scenarios!D9</f>
        <v>0</v>
      </c>
    </row>
    <row r="10" spans="1:11" x14ac:dyDescent="0.3">
      <c r="A10" s="17">
        <v>9</v>
      </c>
      <c r="B10" s="4">
        <f>Product_Input!B10</f>
        <v>0</v>
      </c>
      <c r="C10" s="19">
        <f>IF(Pricing_Logic!C10+Pricing_Logic!E10=0,0,(Pricing_Logic!C10+Pricing_Logic!E10)/2)</f>
        <v>0</v>
      </c>
      <c r="D10" s="6">
        <f t="shared" si="0"/>
        <v>0</v>
      </c>
      <c r="E10" s="19">
        <f>Pricing_Logic!G10</f>
        <v>0</v>
      </c>
      <c r="F10" s="6">
        <f>Pricing_Logic!L10</f>
        <v>0</v>
      </c>
      <c r="G10" s="4" t="str">
        <f>IF(Market_Input!C10="","N/A",Market_Input!C10&amp;" - "&amp;Market_Input!D10)</f>
        <v>N/A</v>
      </c>
      <c r="H10" s="12">
        <f>IF(C10=0,0,(C10-Pricing_Logic!B10)/C10)</f>
        <v>0</v>
      </c>
      <c r="I10" s="19">
        <f>Scenarios!C10</f>
        <v>0</v>
      </c>
      <c r="J10" s="19">
        <f>Scenarios!B10</f>
        <v>0</v>
      </c>
      <c r="K10" s="19">
        <f>Scenarios!D10</f>
        <v>0</v>
      </c>
    </row>
    <row r="11" spans="1:11" x14ac:dyDescent="0.3">
      <c r="A11" s="17">
        <v>10</v>
      </c>
      <c r="B11" s="4">
        <f>Product_Input!B11</f>
        <v>0</v>
      </c>
      <c r="C11" s="19">
        <f>IF(Pricing_Logic!C11+Pricing_Logic!E11=0,0,(Pricing_Logic!C11+Pricing_Logic!E11)/2)</f>
        <v>0</v>
      </c>
      <c r="D11" s="6">
        <f t="shared" si="0"/>
        <v>0</v>
      </c>
      <c r="E11" s="19">
        <f>Pricing_Logic!G11</f>
        <v>0</v>
      </c>
      <c r="F11" s="6">
        <f>Pricing_Logic!L11</f>
        <v>0</v>
      </c>
      <c r="G11" s="4" t="str">
        <f>IF(Market_Input!C11="","N/A",Market_Input!C11&amp;" - "&amp;Market_Input!D11)</f>
        <v>N/A</v>
      </c>
      <c r="H11" s="12">
        <f>IF(C11=0,0,(C11-Pricing_Logic!B11)/C11)</f>
        <v>0</v>
      </c>
      <c r="I11" s="19">
        <f>Scenarios!C11</f>
        <v>0</v>
      </c>
      <c r="J11" s="19">
        <f>Scenarios!B11</f>
        <v>0</v>
      </c>
      <c r="K11" s="19">
        <f>Scenarios!D11</f>
        <v>0</v>
      </c>
    </row>
    <row r="12" spans="1:11" x14ac:dyDescent="0.3">
      <c r="A12" s="17">
        <v>11</v>
      </c>
      <c r="B12" s="4">
        <f>Product_Input!B12</f>
        <v>0</v>
      </c>
      <c r="C12" s="19">
        <f>IF(Pricing_Logic!C12+Pricing_Logic!E12=0,0,(Pricing_Logic!C12+Pricing_Logic!E12)/2)</f>
        <v>0</v>
      </c>
      <c r="D12" s="6">
        <f t="shared" si="0"/>
        <v>0</v>
      </c>
      <c r="E12" s="19">
        <f>Pricing_Logic!G12</f>
        <v>0</v>
      </c>
      <c r="F12" s="6">
        <f>Pricing_Logic!L12</f>
        <v>0</v>
      </c>
      <c r="G12" s="4" t="str">
        <f>IF(Market_Input!C12="","N/A",Market_Input!C12&amp;" - "&amp;Market_Input!D12)</f>
        <v>N/A</v>
      </c>
      <c r="H12" s="12">
        <f>IF(C12=0,0,(C12-Pricing_Logic!B12)/C12)</f>
        <v>0</v>
      </c>
      <c r="I12" s="19">
        <f>Scenarios!C12</f>
        <v>0</v>
      </c>
      <c r="J12" s="19">
        <f>Scenarios!B12</f>
        <v>0</v>
      </c>
      <c r="K12" s="19">
        <f>Scenarios!D12</f>
        <v>0</v>
      </c>
    </row>
    <row r="13" spans="1:11" x14ac:dyDescent="0.3">
      <c r="A13" s="17">
        <v>12</v>
      </c>
      <c r="B13" s="4">
        <f>Product_Input!B13</f>
        <v>0</v>
      </c>
      <c r="C13" s="19">
        <f>IF(Pricing_Logic!C13+Pricing_Logic!E13=0,0,(Pricing_Logic!C13+Pricing_Logic!E13)/2)</f>
        <v>0</v>
      </c>
      <c r="D13" s="6">
        <f t="shared" si="0"/>
        <v>0</v>
      </c>
      <c r="E13" s="19">
        <f>Pricing_Logic!G13</f>
        <v>0</v>
      </c>
      <c r="F13" s="6">
        <f>Pricing_Logic!L13</f>
        <v>0</v>
      </c>
      <c r="G13" s="4" t="str">
        <f>IF(Market_Input!C13="","N/A",Market_Input!C13&amp;" - "&amp;Market_Input!D13)</f>
        <v>N/A</v>
      </c>
      <c r="H13" s="12">
        <f>IF(C13=0,0,(C13-Pricing_Logic!B13)/C13)</f>
        <v>0</v>
      </c>
      <c r="I13" s="19">
        <f>Scenarios!C13</f>
        <v>0</v>
      </c>
      <c r="J13" s="19">
        <f>Scenarios!B13</f>
        <v>0</v>
      </c>
      <c r="K13" s="19">
        <f>Scenarios!D13</f>
        <v>0</v>
      </c>
    </row>
    <row r="14" spans="1:11" x14ac:dyDescent="0.3">
      <c r="A14" s="17">
        <v>13</v>
      </c>
      <c r="B14" s="4">
        <f>Product_Input!B14</f>
        <v>0</v>
      </c>
      <c r="C14" s="19">
        <f>IF(Pricing_Logic!C14+Pricing_Logic!E14=0,0,(Pricing_Logic!C14+Pricing_Logic!E14)/2)</f>
        <v>0</v>
      </c>
      <c r="D14" s="6">
        <f t="shared" si="0"/>
        <v>0</v>
      </c>
      <c r="E14" s="19">
        <f>Pricing_Logic!G14</f>
        <v>0</v>
      </c>
      <c r="F14" s="6">
        <f>Pricing_Logic!L14</f>
        <v>0</v>
      </c>
      <c r="G14" s="4" t="str">
        <f>IF(Market_Input!C14="","N/A",Market_Input!C14&amp;" - "&amp;Market_Input!D14)</f>
        <v>N/A</v>
      </c>
      <c r="H14" s="12">
        <f>IF(C14=0,0,(C14-Pricing_Logic!B14)/C14)</f>
        <v>0</v>
      </c>
      <c r="I14" s="19">
        <f>Scenarios!C14</f>
        <v>0</v>
      </c>
      <c r="J14" s="19">
        <f>Scenarios!B14</f>
        <v>0</v>
      </c>
      <c r="K14" s="19">
        <f>Scenarios!D14</f>
        <v>0</v>
      </c>
    </row>
    <row r="15" spans="1:11" x14ac:dyDescent="0.3">
      <c r="A15" s="17">
        <v>14</v>
      </c>
      <c r="B15" s="4">
        <f>Product_Input!B15</f>
        <v>0</v>
      </c>
      <c r="C15" s="19">
        <f>IF(Pricing_Logic!C15+Pricing_Logic!E15=0,0,(Pricing_Logic!C15+Pricing_Logic!E15)/2)</f>
        <v>0</v>
      </c>
      <c r="D15" s="6">
        <f t="shared" si="0"/>
        <v>0</v>
      </c>
      <c r="E15" s="19">
        <f>Pricing_Logic!G15</f>
        <v>0</v>
      </c>
      <c r="F15" s="6">
        <f>Pricing_Logic!L15</f>
        <v>0</v>
      </c>
      <c r="G15" s="4" t="str">
        <f>IF(Market_Input!C15="","N/A",Market_Input!C15&amp;" - "&amp;Market_Input!D15)</f>
        <v>N/A</v>
      </c>
      <c r="H15" s="12">
        <f>IF(C15=0,0,(C15-Pricing_Logic!B15)/C15)</f>
        <v>0</v>
      </c>
      <c r="I15" s="19">
        <f>Scenarios!C15</f>
        <v>0</v>
      </c>
      <c r="J15" s="19">
        <f>Scenarios!B15</f>
        <v>0</v>
      </c>
      <c r="K15" s="19">
        <f>Scenarios!D15</f>
        <v>0</v>
      </c>
    </row>
    <row r="16" spans="1:11" x14ac:dyDescent="0.3">
      <c r="A16" s="17">
        <v>15</v>
      </c>
      <c r="B16" s="4">
        <f>Product_Input!B16</f>
        <v>0</v>
      </c>
      <c r="C16" s="19">
        <f>IF(Pricing_Logic!C16+Pricing_Logic!E16=0,0,(Pricing_Logic!C16+Pricing_Logic!E16)/2)</f>
        <v>0</v>
      </c>
      <c r="D16" s="6">
        <f t="shared" si="0"/>
        <v>0</v>
      </c>
      <c r="E16" s="19">
        <f>Pricing_Logic!G16</f>
        <v>0</v>
      </c>
      <c r="F16" s="6">
        <f>Pricing_Logic!L16</f>
        <v>0</v>
      </c>
      <c r="G16" s="4" t="str">
        <f>IF(Market_Input!C16="","N/A",Market_Input!C16&amp;" - "&amp;Market_Input!D16)</f>
        <v>N/A</v>
      </c>
      <c r="H16" s="12">
        <f>IF(C16=0,0,(C16-Pricing_Logic!B16)/C16)</f>
        <v>0</v>
      </c>
      <c r="I16" s="19">
        <f>Scenarios!C16</f>
        <v>0</v>
      </c>
      <c r="J16" s="19">
        <f>Scenarios!B16</f>
        <v>0</v>
      </c>
      <c r="K16" s="19">
        <f>Scenarios!D16</f>
        <v>0</v>
      </c>
    </row>
    <row r="17" spans="1:11" x14ac:dyDescent="0.3">
      <c r="A17" s="17">
        <v>16</v>
      </c>
      <c r="B17" s="4">
        <f>Product_Input!B17</f>
        <v>0</v>
      </c>
      <c r="C17" s="19">
        <f>IF(Pricing_Logic!C17+Pricing_Logic!E17=0,0,(Pricing_Logic!C17+Pricing_Logic!E17)/2)</f>
        <v>0</v>
      </c>
      <c r="D17" s="6">
        <f t="shared" si="0"/>
        <v>0</v>
      </c>
      <c r="E17" s="19">
        <f>Pricing_Logic!G17</f>
        <v>0</v>
      </c>
      <c r="F17" s="6">
        <f>Pricing_Logic!L17</f>
        <v>0</v>
      </c>
      <c r="G17" s="4" t="str">
        <f>IF(Market_Input!C17="","N/A",Market_Input!C17&amp;" - "&amp;Market_Input!D17)</f>
        <v>N/A</v>
      </c>
      <c r="H17" s="12">
        <f>IF(C17=0,0,(C17-Pricing_Logic!B17)/C17)</f>
        <v>0</v>
      </c>
      <c r="I17" s="19">
        <f>Scenarios!C17</f>
        <v>0</v>
      </c>
      <c r="J17" s="19">
        <f>Scenarios!B17</f>
        <v>0</v>
      </c>
      <c r="K17" s="19">
        <f>Scenarios!D17</f>
        <v>0</v>
      </c>
    </row>
    <row r="18" spans="1:11" x14ac:dyDescent="0.3">
      <c r="A18" s="17">
        <v>17</v>
      </c>
      <c r="B18" s="4">
        <f>Product_Input!B18</f>
        <v>0</v>
      </c>
      <c r="C18" s="19">
        <f>IF(Pricing_Logic!C18+Pricing_Logic!E18=0,0,(Pricing_Logic!C18+Pricing_Logic!E18)/2)</f>
        <v>0</v>
      </c>
      <c r="D18" s="6">
        <f t="shared" si="0"/>
        <v>0</v>
      </c>
      <c r="E18" s="19">
        <f>Pricing_Logic!G18</f>
        <v>0</v>
      </c>
      <c r="F18" s="6">
        <f>Pricing_Logic!L18</f>
        <v>0</v>
      </c>
      <c r="G18" s="4" t="str">
        <f>IF(Market_Input!C18="","N/A",Market_Input!C18&amp;" - "&amp;Market_Input!D18)</f>
        <v>N/A</v>
      </c>
      <c r="H18" s="12">
        <f>IF(C18=0,0,(C18-Pricing_Logic!B18)/C18)</f>
        <v>0</v>
      </c>
      <c r="I18" s="19">
        <f>Scenarios!C18</f>
        <v>0</v>
      </c>
      <c r="J18" s="19">
        <f>Scenarios!B18</f>
        <v>0</v>
      </c>
      <c r="K18" s="19">
        <f>Scenarios!D18</f>
        <v>0</v>
      </c>
    </row>
    <row r="19" spans="1:11" x14ac:dyDescent="0.3">
      <c r="A19" s="17">
        <v>18</v>
      </c>
      <c r="B19" s="4">
        <f>Product_Input!B19</f>
        <v>0</v>
      </c>
      <c r="C19" s="19">
        <f>IF(Pricing_Logic!C19+Pricing_Logic!E19=0,0,(Pricing_Logic!C19+Pricing_Logic!E19)/2)</f>
        <v>0</v>
      </c>
      <c r="D19" s="6">
        <f t="shared" si="0"/>
        <v>0</v>
      </c>
      <c r="E19" s="19">
        <f>Pricing_Logic!G19</f>
        <v>0</v>
      </c>
      <c r="F19" s="6">
        <f>Pricing_Logic!L19</f>
        <v>0</v>
      </c>
      <c r="G19" s="4" t="str">
        <f>IF(Market_Input!C19="","N/A",Market_Input!C19&amp;" - "&amp;Market_Input!D19)</f>
        <v>N/A</v>
      </c>
      <c r="H19" s="12">
        <f>IF(C19=0,0,(C19-Pricing_Logic!B19)/C19)</f>
        <v>0</v>
      </c>
      <c r="I19" s="19">
        <f>Scenarios!C19</f>
        <v>0</v>
      </c>
      <c r="J19" s="19">
        <f>Scenarios!B19</f>
        <v>0</v>
      </c>
      <c r="K19" s="19">
        <f>Scenarios!D19</f>
        <v>0</v>
      </c>
    </row>
    <row r="20" spans="1:11" x14ac:dyDescent="0.3">
      <c r="A20" s="17">
        <v>19</v>
      </c>
      <c r="B20" s="4">
        <f>Product_Input!B20</f>
        <v>0</v>
      </c>
      <c r="C20" s="19">
        <f>IF(Pricing_Logic!C20+Pricing_Logic!E20=0,0,(Pricing_Logic!C20+Pricing_Logic!E20)/2)</f>
        <v>0</v>
      </c>
      <c r="D20" s="6">
        <f t="shared" si="0"/>
        <v>0</v>
      </c>
      <c r="E20" s="19">
        <f>Pricing_Logic!G20</f>
        <v>0</v>
      </c>
      <c r="F20" s="6">
        <f>Pricing_Logic!L20</f>
        <v>0</v>
      </c>
      <c r="G20" s="4" t="str">
        <f>IF(Market_Input!C20="","N/A",Market_Input!C20&amp;" - "&amp;Market_Input!D20)</f>
        <v>N/A</v>
      </c>
      <c r="H20" s="12">
        <f>IF(C20=0,0,(C20-Pricing_Logic!B20)/C20)</f>
        <v>0</v>
      </c>
      <c r="I20" s="19">
        <f>Scenarios!C20</f>
        <v>0</v>
      </c>
      <c r="J20" s="19">
        <f>Scenarios!B20</f>
        <v>0</v>
      </c>
      <c r="K20" s="19">
        <f>Scenarios!D20</f>
        <v>0</v>
      </c>
    </row>
    <row r="21" spans="1:11" x14ac:dyDescent="0.3">
      <c r="A21" s="17">
        <v>20</v>
      </c>
      <c r="B21" s="4">
        <f>Product_Input!B21</f>
        <v>0</v>
      </c>
      <c r="C21" s="19">
        <f>IF(Pricing_Logic!C21+Pricing_Logic!E21=0,0,(Pricing_Logic!C21+Pricing_Logic!E21)/2)</f>
        <v>0</v>
      </c>
      <c r="D21" s="6">
        <f t="shared" si="0"/>
        <v>0</v>
      </c>
      <c r="E21" s="19">
        <f>Pricing_Logic!G21</f>
        <v>0</v>
      </c>
      <c r="F21" s="6">
        <f>Pricing_Logic!L21</f>
        <v>0</v>
      </c>
      <c r="G21" s="4" t="str">
        <f>IF(Market_Input!C21="","N/A",Market_Input!C21&amp;" - "&amp;Market_Input!D21)</f>
        <v>N/A</v>
      </c>
      <c r="H21" s="12">
        <f>IF(C21=0,0,(C21-Pricing_Logic!B21)/C21)</f>
        <v>0</v>
      </c>
      <c r="I21" s="19">
        <f>Scenarios!C21</f>
        <v>0</v>
      </c>
      <c r="J21" s="19">
        <f>Scenarios!B21</f>
        <v>0</v>
      </c>
      <c r="K21" s="19">
        <f>Scenarios!D21</f>
        <v>0</v>
      </c>
    </row>
    <row r="22" spans="1:11" x14ac:dyDescent="0.3">
      <c r="A22" s="17">
        <v>21</v>
      </c>
      <c r="B22" s="4">
        <f>Product_Input!B22</f>
        <v>0</v>
      </c>
      <c r="C22" s="19">
        <f>IF(Pricing_Logic!C22+Pricing_Logic!E22=0,0,(Pricing_Logic!C22+Pricing_Logic!E22)/2)</f>
        <v>0</v>
      </c>
      <c r="D22" s="6">
        <f t="shared" si="0"/>
        <v>0</v>
      </c>
      <c r="E22" s="19">
        <f>Pricing_Logic!G22</f>
        <v>0</v>
      </c>
      <c r="F22" s="6">
        <f>Pricing_Logic!L22</f>
        <v>0</v>
      </c>
      <c r="G22" s="4" t="str">
        <f>IF(Market_Input!C22="","N/A",Market_Input!C22&amp;" - "&amp;Market_Input!D22)</f>
        <v>N/A</v>
      </c>
      <c r="H22" s="12">
        <f>IF(C22=0,0,(C22-Pricing_Logic!B22)/C22)</f>
        <v>0</v>
      </c>
      <c r="I22" s="19">
        <f>Scenarios!C22</f>
        <v>0</v>
      </c>
      <c r="J22" s="19">
        <f>Scenarios!B22</f>
        <v>0</v>
      </c>
      <c r="K22" s="19">
        <f>Scenarios!D22</f>
        <v>0</v>
      </c>
    </row>
    <row r="23" spans="1:11" x14ac:dyDescent="0.3">
      <c r="A23" s="17">
        <v>22</v>
      </c>
      <c r="B23" s="4">
        <f>Product_Input!B23</f>
        <v>0</v>
      </c>
      <c r="C23" s="19">
        <f>IF(Pricing_Logic!C23+Pricing_Logic!E23=0,0,(Pricing_Logic!C23+Pricing_Logic!E23)/2)</f>
        <v>0</v>
      </c>
      <c r="D23" s="6">
        <f t="shared" si="0"/>
        <v>0</v>
      </c>
      <c r="E23" s="19">
        <f>Pricing_Logic!G23</f>
        <v>0</v>
      </c>
      <c r="F23" s="6">
        <f>Pricing_Logic!L23</f>
        <v>0</v>
      </c>
      <c r="G23" s="4" t="str">
        <f>IF(Market_Input!C23="","N/A",Market_Input!C23&amp;" - "&amp;Market_Input!D23)</f>
        <v>N/A</v>
      </c>
      <c r="H23" s="12">
        <f>IF(C23=0,0,(C23-Pricing_Logic!B23)/C23)</f>
        <v>0</v>
      </c>
      <c r="I23" s="19">
        <f>Scenarios!C23</f>
        <v>0</v>
      </c>
      <c r="J23" s="19">
        <f>Scenarios!B23</f>
        <v>0</v>
      </c>
      <c r="K23" s="19">
        <f>Scenarios!D23</f>
        <v>0</v>
      </c>
    </row>
    <row r="24" spans="1:11" x14ac:dyDescent="0.3">
      <c r="A24" s="17">
        <v>23</v>
      </c>
      <c r="B24" s="4">
        <f>Product_Input!B24</f>
        <v>0</v>
      </c>
      <c r="C24" s="19">
        <f>IF(Pricing_Logic!C24+Pricing_Logic!E24=0,0,(Pricing_Logic!C24+Pricing_Logic!E24)/2)</f>
        <v>0</v>
      </c>
      <c r="D24" s="6">
        <f t="shared" si="0"/>
        <v>0</v>
      </c>
      <c r="E24" s="19">
        <f>Pricing_Logic!G24</f>
        <v>0</v>
      </c>
      <c r="F24" s="6">
        <f>Pricing_Logic!L24</f>
        <v>0</v>
      </c>
      <c r="G24" s="4" t="str">
        <f>IF(Market_Input!C24="","N/A",Market_Input!C24&amp;" - "&amp;Market_Input!D24)</f>
        <v>N/A</v>
      </c>
      <c r="H24" s="12">
        <f>IF(C24=0,0,(C24-Pricing_Logic!B24)/C24)</f>
        <v>0</v>
      </c>
      <c r="I24" s="19">
        <f>Scenarios!C24</f>
        <v>0</v>
      </c>
      <c r="J24" s="19">
        <f>Scenarios!B24</f>
        <v>0</v>
      </c>
      <c r="K24" s="19">
        <f>Scenarios!D24</f>
        <v>0</v>
      </c>
    </row>
    <row r="25" spans="1:11" x14ac:dyDescent="0.3">
      <c r="A25" s="17">
        <v>24</v>
      </c>
      <c r="B25" s="4">
        <f>Product_Input!B25</f>
        <v>0</v>
      </c>
      <c r="C25" s="19">
        <f>IF(Pricing_Logic!C25+Pricing_Logic!E25=0,0,(Pricing_Logic!C25+Pricing_Logic!E25)/2)</f>
        <v>0</v>
      </c>
      <c r="D25" s="6">
        <f t="shared" si="0"/>
        <v>0</v>
      </c>
      <c r="E25" s="19">
        <f>Pricing_Logic!G25</f>
        <v>0</v>
      </c>
      <c r="F25" s="6">
        <f>Pricing_Logic!L25</f>
        <v>0</v>
      </c>
      <c r="G25" s="4" t="str">
        <f>IF(Market_Input!C25="","N/A",Market_Input!C25&amp;" - "&amp;Market_Input!D25)</f>
        <v>N/A</v>
      </c>
      <c r="H25" s="12">
        <f>IF(C25=0,0,(C25-Pricing_Logic!B25)/C25)</f>
        <v>0</v>
      </c>
      <c r="I25" s="19">
        <f>Scenarios!C25</f>
        <v>0</v>
      </c>
      <c r="J25" s="19">
        <f>Scenarios!B25</f>
        <v>0</v>
      </c>
      <c r="K25" s="19">
        <f>Scenarios!D25</f>
        <v>0</v>
      </c>
    </row>
    <row r="26" spans="1:11" x14ac:dyDescent="0.3">
      <c r="A26" s="17">
        <v>25</v>
      </c>
      <c r="B26" s="4">
        <f>Product_Input!B26</f>
        <v>0</v>
      </c>
      <c r="C26" s="19">
        <f>IF(Pricing_Logic!C26+Pricing_Logic!E26=0,0,(Pricing_Logic!C26+Pricing_Logic!E26)/2)</f>
        <v>0</v>
      </c>
      <c r="D26" s="6">
        <f t="shared" si="0"/>
        <v>0</v>
      </c>
      <c r="E26" s="19">
        <f>Pricing_Logic!G26</f>
        <v>0</v>
      </c>
      <c r="F26" s="6">
        <f>Pricing_Logic!L26</f>
        <v>0</v>
      </c>
      <c r="G26" s="4" t="str">
        <f>IF(Market_Input!C26="","N/A",Market_Input!C26&amp;" - "&amp;Market_Input!D26)</f>
        <v>N/A</v>
      </c>
      <c r="H26" s="12">
        <f>IF(C26=0,0,(C26-Pricing_Logic!B26)/C26)</f>
        <v>0</v>
      </c>
      <c r="I26" s="19">
        <f>Scenarios!C26</f>
        <v>0</v>
      </c>
      <c r="J26" s="19">
        <f>Scenarios!B26</f>
        <v>0</v>
      </c>
      <c r="K26" s="19">
        <f>Scenarios!D26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2B01-A12B-472F-82E1-D484BC658B18}">
  <dimension ref="A1:H50"/>
  <sheetViews>
    <sheetView topLeftCell="A2" workbookViewId="0">
      <selection sqref="A1:H1"/>
    </sheetView>
  </sheetViews>
  <sheetFormatPr defaultRowHeight="14.4" x14ac:dyDescent="0.3"/>
  <cols>
    <col min="1" max="1" width="26.44140625" bestFit="1" customWidth="1"/>
    <col min="2" max="3" width="9.5546875" bestFit="1" customWidth="1"/>
    <col min="4" max="4" width="10.109375" bestFit="1" customWidth="1"/>
    <col min="5" max="5" width="26.5546875" bestFit="1" customWidth="1"/>
    <col min="7" max="7" width="10.5546875" bestFit="1" customWidth="1"/>
    <col min="8" max="8" width="14.88671875" bestFit="1" customWidth="1"/>
  </cols>
  <sheetData>
    <row r="1" spans="1:8" ht="18" x14ac:dyDescent="0.35">
      <c r="A1" s="52" t="str">
        <f>IF(COUNTIF(B6:B10,TRUE)&gt;0,"❌ MODEL BLOCKED — FIX CRITICAL ERRORS",IF(COUNTIF(B14:B17,TRUE)&gt;0,"⚠️ MODEL OK WITH WARNINGS","✅ MODEL READY"))</f>
        <v>❌ MODEL BLOCKED — FIX CRITICAL ERRORS</v>
      </c>
      <c r="B1" s="51"/>
      <c r="C1" s="51"/>
      <c r="D1" s="51"/>
      <c r="E1" s="51"/>
      <c r="F1" s="51"/>
      <c r="G1" s="51"/>
      <c r="H1" s="51"/>
    </row>
    <row r="3" spans="1:8" x14ac:dyDescent="0.3">
      <c r="A3" s="13" t="s">
        <v>107</v>
      </c>
      <c r="B3" s="13" t="s">
        <v>22</v>
      </c>
      <c r="C3" s="13" t="s">
        <v>50</v>
      </c>
      <c r="E3" s="5" t="s">
        <v>118</v>
      </c>
      <c r="F3" s="5" t="s">
        <v>20</v>
      </c>
      <c r="G3" s="5"/>
    </row>
    <row r="6" spans="1:8" x14ac:dyDescent="0.3">
      <c r="A6" s="35" t="s">
        <v>108</v>
      </c>
      <c r="B6" s="35" t="b">
        <f>IF(Client_Info!B8="",TRUE,FALSE)</f>
        <v>1</v>
      </c>
      <c r="C6" s="35">
        <f>IF(B6,1,0)</f>
        <v>1</v>
      </c>
      <c r="E6" s="30" t="s">
        <v>119</v>
      </c>
      <c r="F6" s="30">
        <f>COUNTA(FX_Rates!C2:C13)</f>
        <v>0</v>
      </c>
    </row>
    <row r="7" spans="1:8" x14ac:dyDescent="0.3">
      <c r="A7" s="35" t="s">
        <v>109</v>
      </c>
      <c r="B7" s="35" t="b">
        <f>IF(COUNTIF(FX_Rates!C2:C13,"&gt;0")=0,TRUE,FALSE)</f>
        <v>1</v>
      </c>
      <c r="C7" s="35">
        <f>IF(B7,1,0)</f>
        <v>1</v>
      </c>
      <c r="E7" s="30" t="s">
        <v>120</v>
      </c>
      <c r="F7" s="30">
        <f>12-COUNTA(FX_Rates!C2:C13)</f>
        <v>12</v>
      </c>
    </row>
    <row r="8" spans="1:8" x14ac:dyDescent="0.3">
      <c r="A8" s="35" t="s">
        <v>110</v>
      </c>
      <c r="B8" s="35" t="b">
        <f>IF(COUNTBLANK(Product_Input!B2:B26)&gt;0,TRUE,FALSE)</f>
        <v>1</v>
      </c>
      <c r="C8" s="35">
        <f>COUNTBLANK(Product_Input!B2:B26)</f>
        <v>25</v>
      </c>
      <c r="E8" s="30" t="s">
        <v>121</v>
      </c>
      <c r="F8" s="30">
        <f>COUNTA(FX_Rates!A2:A13)</f>
        <v>0</v>
      </c>
    </row>
    <row r="9" spans="1:8" x14ac:dyDescent="0.3">
      <c r="A9" s="35" t="s">
        <v>111</v>
      </c>
      <c r="B9" s="35" t="b">
        <f>IF(COUNTBLANK(Product_Input!F2:F26)&gt;0,TRUE,FALSE)</f>
        <v>1</v>
      </c>
      <c r="C9" s="35">
        <f>COUNTBLANK(Product_Input!F2:F26)</f>
        <v>25</v>
      </c>
      <c r="E9" s="30" t="s">
        <v>122</v>
      </c>
      <c r="F9" s="30" t="str">
        <f>IF(FX_Rates!H1="","❌ NO","✅ YES")</f>
        <v>❌ NO</v>
      </c>
    </row>
    <row r="10" spans="1:8" x14ac:dyDescent="0.3">
      <c r="A10" s="35" t="s">
        <v>112</v>
      </c>
      <c r="B10" s="35" t="b">
        <f>IF(COUNTIF(Outputs!C2:C26,"&lt;0")&gt;0,TRUE,FALSE)</f>
        <v>0</v>
      </c>
      <c r="C10" s="35">
        <f>COUNTIF(Outputs!C2:C26,"&lt;0")</f>
        <v>0</v>
      </c>
      <c r="E10" s="30" t="s">
        <v>2</v>
      </c>
      <c r="F10" s="38" t="str">
        <f>IF(FX_Rates!H1="","N/A",EOMONTH(FX_Rates!H1,-1))</f>
        <v>N/A</v>
      </c>
    </row>
    <row r="12" spans="1:8" x14ac:dyDescent="0.3">
      <c r="A12" s="36" t="s">
        <v>113</v>
      </c>
      <c r="B12" s="36" t="s">
        <v>22</v>
      </c>
      <c r="C12" s="36" t="s">
        <v>50</v>
      </c>
      <c r="E12" s="20" t="s">
        <v>123</v>
      </c>
      <c r="F12" s="20" t="s">
        <v>124</v>
      </c>
      <c r="G12" s="20" t="s">
        <v>22</v>
      </c>
    </row>
    <row r="14" spans="1:8" x14ac:dyDescent="0.3">
      <c r="A14" s="37" t="s">
        <v>114</v>
      </c>
      <c r="B14" s="37" t="b">
        <f>IF(COUNTIFS(Product_Input!K2:K26,"&lt;0")+COUNTIFS(Product_Input!K2:K26,"&gt;0.9")&gt;0,TRUE,FALSE)</f>
        <v>0</v>
      </c>
      <c r="C14" s="37">
        <f>COUNTIFS(Product_Input!K2:K26,"&lt;0")+COUNTIFS(Product_Input!K2:K26,"&gt;0.9")</f>
        <v>0</v>
      </c>
      <c r="E14" s="39" t="s">
        <v>125</v>
      </c>
      <c r="F14" s="39">
        <f>25-COUNTBLANK(Product_Input!B2:B26)</f>
        <v>0</v>
      </c>
      <c r="G14" s="39"/>
    </row>
    <row r="15" spans="1:8" x14ac:dyDescent="0.3">
      <c r="A15" s="37" t="s">
        <v>115</v>
      </c>
      <c r="B15" s="37" t="b">
        <f>IF(COUNTIFS(Market_Input!E2:E26,"&gt;0.5")&gt;0,TRUE,FALSE)</f>
        <v>0</v>
      </c>
      <c r="C15" s="37">
        <f>COUNTIFS(Market_Input!E2:E26,"&gt;0.5")</f>
        <v>0</v>
      </c>
      <c r="E15" s="39" t="s">
        <v>126</v>
      </c>
      <c r="F15" s="40">
        <f>25-COUNTBLANK(Product_Input!F2:F26)</f>
        <v>0</v>
      </c>
      <c r="G15" s="39"/>
    </row>
    <row r="16" spans="1:8" x14ac:dyDescent="0.3">
      <c r="A16" s="37" t="s">
        <v>116</v>
      </c>
      <c r="B16" s="37" t="b">
        <f>IF(COUNTBLANK(Market_Input!B2:B26)&gt;0,TRUE,FALSE)</f>
        <v>1</v>
      </c>
      <c r="C16" s="37">
        <f>COUNTBLANK(Market_Input!B2:B26)</f>
        <v>25</v>
      </c>
      <c r="E16" s="39" t="s">
        <v>127</v>
      </c>
      <c r="F16" s="40">
        <f>25-COUNTBLANK(Market_Input!B2:B26)</f>
        <v>0</v>
      </c>
      <c r="G16" s="39"/>
    </row>
    <row r="17" spans="1:8" x14ac:dyDescent="0.3">
      <c r="A17" s="37" t="s">
        <v>117</v>
      </c>
      <c r="B17" s="37" t="b">
        <f>IF(COUNTIFS(Market_Input!J2:J26,"=0")&gt;0,TRUE,FALSE)</f>
        <v>0</v>
      </c>
      <c r="C17" s="37">
        <f>COUNTIFS(Market_Input!J2:J26,"=0")</f>
        <v>0</v>
      </c>
      <c r="E17" s="39" t="s">
        <v>128</v>
      </c>
      <c r="F17" s="39">
        <f>ROUND(((F14+F15+F16)/(25*3))*100,1)</f>
        <v>0</v>
      </c>
      <c r="G17" s="39" t="str">
        <f>IF(F17&lt;50,"🔴 Red",IF(F17&lt;90,"🟡 Yellow","🟢 Green"))</f>
        <v>🔴 Red</v>
      </c>
    </row>
    <row r="19" spans="1:8" x14ac:dyDescent="0.3">
      <c r="A19" s="22" t="s">
        <v>129</v>
      </c>
      <c r="B19" s="22" t="s">
        <v>50</v>
      </c>
      <c r="C19" s="22"/>
    </row>
    <row r="21" spans="1:8" x14ac:dyDescent="0.3">
      <c r="A21" t="s">
        <v>130</v>
      </c>
      <c r="B21" s="35">
        <f>COUNTIF(B6:B10,TRUE)</f>
        <v>4</v>
      </c>
    </row>
    <row r="22" spans="1:8" x14ac:dyDescent="0.3">
      <c r="A22" t="s">
        <v>131</v>
      </c>
      <c r="B22" s="37">
        <f>COUNTIF(B14:B17,TRUE)</f>
        <v>1</v>
      </c>
    </row>
    <row r="23" spans="1:8" x14ac:dyDescent="0.3">
      <c r="A23" t="s">
        <v>132</v>
      </c>
      <c r="B23" s="1">
        <f>B21+B22</f>
        <v>5</v>
      </c>
    </row>
    <row r="25" spans="1:8" x14ac:dyDescent="0.3">
      <c r="A25" s="41" t="s">
        <v>39</v>
      </c>
      <c r="B25" s="41" t="s">
        <v>67</v>
      </c>
      <c r="C25" s="41" t="s">
        <v>68</v>
      </c>
      <c r="D25" s="41" t="s">
        <v>69</v>
      </c>
      <c r="E25" s="41" t="s">
        <v>70</v>
      </c>
      <c r="F25" s="41" t="s">
        <v>71</v>
      </c>
      <c r="G25" s="41" t="s">
        <v>133</v>
      </c>
      <c r="H25" s="41" t="s">
        <v>22</v>
      </c>
    </row>
    <row r="26" spans="1:8" x14ac:dyDescent="0.3">
      <c r="A26">
        <v>1</v>
      </c>
      <c r="B26" t="b">
        <f>IF(Product_Input!B2&lt;&gt;"",TRUE,FALSE)</f>
        <v>0</v>
      </c>
      <c r="C26" t="b">
        <f>IF(Product_Input!F2&lt;&gt;"",TRUE,FALSE)</f>
        <v>0</v>
      </c>
      <c r="D26" t="b">
        <f>IF(Product_Input!K2&lt;&gt;"",TRUE,FALSE)</f>
        <v>0</v>
      </c>
      <c r="E26" t="b">
        <f>IF(Market_Input!B2&lt;&gt;"",TRUE,FALSE)</f>
        <v>0</v>
      </c>
      <c r="F26" t="b">
        <f>IF(Market_Input!I2&lt;&gt;"",TRUE,FALSE)</f>
        <v>0</v>
      </c>
      <c r="G26" t="b">
        <f>IF(Market_Input!J2&lt;&gt;"",TRUE,FALSE)</f>
        <v>0</v>
      </c>
      <c r="H26" t="str">
        <f t="shared" ref="H26:H50" si="0">IF(AND(B26,C26,D26,E26,F26,G26),"✅ COMPLETE","❌ INCOMPLETE")</f>
        <v>❌ INCOMPLETE</v>
      </c>
    </row>
    <row r="27" spans="1:8" x14ac:dyDescent="0.3">
      <c r="A27">
        <v>2</v>
      </c>
      <c r="B27" t="b">
        <f>IF(Product_Input!B3&lt;&gt;"",TRUE,FALSE)</f>
        <v>0</v>
      </c>
      <c r="C27" t="b">
        <f>IF(Product_Input!F3&lt;&gt;"",TRUE,FALSE)</f>
        <v>0</v>
      </c>
      <c r="D27" t="b">
        <f>IF(Product_Input!K3&lt;&gt;"",TRUE,FALSE)</f>
        <v>0</v>
      </c>
      <c r="E27" t="b">
        <f>IF(Market_Input!B3&lt;&gt;"",TRUE,FALSE)</f>
        <v>0</v>
      </c>
      <c r="F27" t="b">
        <f>IF(Market_Input!I3&lt;&gt;"",TRUE,FALSE)</f>
        <v>0</v>
      </c>
      <c r="G27" t="b">
        <f>IF(Market_Input!J3&lt;&gt;"",TRUE,FALSE)</f>
        <v>0</v>
      </c>
      <c r="H27" t="str">
        <f t="shared" si="0"/>
        <v>❌ INCOMPLETE</v>
      </c>
    </row>
    <row r="28" spans="1:8" x14ac:dyDescent="0.3">
      <c r="A28">
        <v>3</v>
      </c>
      <c r="B28" t="b">
        <f>IF(Product_Input!B4&lt;&gt;"",TRUE,FALSE)</f>
        <v>0</v>
      </c>
      <c r="C28" t="b">
        <f>IF(Product_Input!F4&lt;&gt;"",TRUE,FALSE)</f>
        <v>0</v>
      </c>
      <c r="D28" t="b">
        <f>IF(Product_Input!K4&lt;&gt;"",TRUE,FALSE)</f>
        <v>0</v>
      </c>
      <c r="E28" t="b">
        <f>IF(Market_Input!B4&lt;&gt;"",TRUE,FALSE)</f>
        <v>0</v>
      </c>
      <c r="F28" t="b">
        <f>IF(Market_Input!I4&lt;&gt;"",TRUE,FALSE)</f>
        <v>0</v>
      </c>
      <c r="G28" t="b">
        <f>IF(Market_Input!J4&lt;&gt;"",TRUE,FALSE)</f>
        <v>0</v>
      </c>
      <c r="H28" t="str">
        <f t="shared" si="0"/>
        <v>❌ INCOMPLETE</v>
      </c>
    </row>
    <row r="29" spans="1:8" x14ac:dyDescent="0.3">
      <c r="A29">
        <v>4</v>
      </c>
      <c r="B29" t="b">
        <f>IF(Product_Input!B5&lt;&gt;"",TRUE,FALSE)</f>
        <v>0</v>
      </c>
      <c r="C29" t="b">
        <f>IF(Product_Input!F5&lt;&gt;"",TRUE,FALSE)</f>
        <v>0</v>
      </c>
      <c r="D29" t="b">
        <f>IF(Product_Input!K5&lt;&gt;"",TRUE,FALSE)</f>
        <v>0</v>
      </c>
      <c r="E29" t="b">
        <f>IF(Market_Input!B5&lt;&gt;"",TRUE,FALSE)</f>
        <v>0</v>
      </c>
      <c r="F29" t="b">
        <f>IF(Market_Input!I5&lt;&gt;"",TRUE,FALSE)</f>
        <v>0</v>
      </c>
      <c r="G29" t="b">
        <f>IF(Market_Input!J5&lt;&gt;"",TRUE,FALSE)</f>
        <v>0</v>
      </c>
      <c r="H29" t="str">
        <f t="shared" si="0"/>
        <v>❌ INCOMPLETE</v>
      </c>
    </row>
    <row r="30" spans="1:8" x14ac:dyDescent="0.3">
      <c r="A30">
        <v>5</v>
      </c>
      <c r="B30" t="b">
        <f>IF(Product_Input!B6&lt;&gt;"",TRUE,FALSE)</f>
        <v>0</v>
      </c>
      <c r="C30" t="b">
        <f>IF(Product_Input!F6&lt;&gt;"",TRUE,FALSE)</f>
        <v>0</v>
      </c>
      <c r="D30" t="b">
        <f>IF(Product_Input!K6&lt;&gt;"",TRUE,FALSE)</f>
        <v>0</v>
      </c>
      <c r="E30" t="b">
        <f>IF(Market_Input!B6&lt;&gt;"",TRUE,FALSE)</f>
        <v>0</v>
      </c>
      <c r="F30" t="b">
        <f>IF(Market_Input!I6&lt;&gt;"",TRUE,FALSE)</f>
        <v>0</v>
      </c>
      <c r="G30" t="b">
        <f>IF(Market_Input!J6&lt;&gt;"",TRUE,FALSE)</f>
        <v>0</v>
      </c>
      <c r="H30" t="str">
        <f t="shared" si="0"/>
        <v>❌ INCOMPLETE</v>
      </c>
    </row>
    <row r="31" spans="1:8" x14ac:dyDescent="0.3">
      <c r="A31">
        <v>6</v>
      </c>
      <c r="B31" t="b">
        <f>IF(Product_Input!B7&lt;&gt;"",TRUE,FALSE)</f>
        <v>0</v>
      </c>
      <c r="C31" t="b">
        <f>IF(Product_Input!F7&lt;&gt;"",TRUE,FALSE)</f>
        <v>0</v>
      </c>
      <c r="D31" t="b">
        <f>IF(Product_Input!K7&lt;&gt;"",TRUE,FALSE)</f>
        <v>0</v>
      </c>
      <c r="E31" t="b">
        <f>IF(Market_Input!B7&lt;&gt;"",TRUE,FALSE)</f>
        <v>0</v>
      </c>
      <c r="F31" t="b">
        <f>IF(Market_Input!I7&lt;&gt;"",TRUE,FALSE)</f>
        <v>0</v>
      </c>
      <c r="G31" t="b">
        <f>IF(Market_Input!J7&lt;&gt;"",TRUE,FALSE)</f>
        <v>0</v>
      </c>
      <c r="H31" t="str">
        <f t="shared" si="0"/>
        <v>❌ INCOMPLETE</v>
      </c>
    </row>
    <row r="32" spans="1:8" x14ac:dyDescent="0.3">
      <c r="A32">
        <v>7</v>
      </c>
      <c r="B32" t="b">
        <f>IF(Product_Input!B8&lt;&gt;"",TRUE,FALSE)</f>
        <v>0</v>
      </c>
      <c r="C32" t="b">
        <f>IF(Product_Input!F8&lt;&gt;"",TRUE,FALSE)</f>
        <v>0</v>
      </c>
      <c r="D32" t="b">
        <f>IF(Product_Input!K8&lt;&gt;"",TRUE,FALSE)</f>
        <v>0</v>
      </c>
      <c r="E32" t="b">
        <f>IF(Market_Input!B8&lt;&gt;"",TRUE,FALSE)</f>
        <v>0</v>
      </c>
      <c r="F32" t="b">
        <f>IF(Market_Input!I8&lt;&gt;"",TRUE,FALSE)</f>
        <v>0</v>
      </c>
      <c r="G32" t="b">
        <f>IF(Market_Input!J8&lt;&gt;"",TRUE,FALSE)</f>
        <v>0</v>
      </c>
      <c r="H32" t="str">
        <f t="shared" si="0"/>
        <v>❌ INCOMPLETE</v>
      </c>
    </row>
    <row r="33" spans="1:8" x14ac:dyDescent="0.3">
      <c r="A33">
        <v>8</v>
      </c>
      <c r="B33" t="b">
        <f>IF(Product_Input!B9&lt;&gt;"",TRUE,FALSE)</f>
        <v>0</v>
      </c>
      <c r="C33" t="b">
        <f>IF(Product_Input!F9&lt;&gt;"",TRUE,FALSE)</f>
        <v>0</v>
      </c>
      <c r="D33" t="b">
        <f>IF(Product_Input!K9&lt;&gt;"",TRUE,FALSE)</f>
        <v>0</v>
      </c>
      <c r="E33" t="b">
        <f>IF(Market_Input!B9&lt;&gt;"",TRUE,FALSE)</f>
        <v>0</v>
      </c>
      <c r="F33" t="b">
        <f>IF(Market_Input!I9&lt;&gt;"",TRUE,FALSE)</f>
        <v>0</v>
      </c>
      <c r="G33" t="b">
        <f>IF(Market_Input!J9&lt;&gt;"",TRUE,FALSE)</f>
        <v>0</v>
      </c>
      <c r="H33" t="str">
        <f t="shared" si="0"/>
        <v>❌ INCOMPLETE</v>
      </c>
    </row>
    <row r="34" spans="1:8" x14ac:dyDescent="0.3">
      <c r="A34">
        <v>9</v>
      </c>
      <c r="B34" t="b">
        <f>IF(Product_Input!B10&lt;&gt;"",TRUE,FALSE)</f>
        <v>0</v>
      </c>
      <c r="C34" t="b">
        <f>IF(Product_Input!F10&lt;&gt;"",TRUE,FALSE)</f>
        <v>0</v>
      </c>
      <c r="D34" t="b">
        <f>IF(Product_Input!K10&lt;&gt;"",TRUE,FALSE)</f>
        <v>0</v>
      </c>
      <c r="E34" t="b">
        <f>IF(Market_Input!B10&lt;&gt;"",TRUE,FALSE)</f>
        <v>0</v>
      </c>
      <c r="F34" t="b">
        <f>IF(Market_Input!I10&lt;&gt;"",TRUE,FALSE)</f>
        <v>0</v>
      </c>
      <c r="G34" t="b">
        <f>IF(Market_Input!J10&lt;&gt;"",TRUE,FALSE)</f>
        <v>0</v>
      </c>
      <c r="H34" t="str">
        <f t="shared" si="0"/>
        <v>❌ INCOMPLETE</v>
      </c>
    </row>
    <row r="35" spans="1:8" x14ac:dyDescent="0.3">
      <c r="A35">
        <v>10</v>
      </c>
      <c r="B35" t="b">
        <f>IF(Product_Input!B11&lt;&gt;"",TRUE,FALSE)</f>
        <v>0</v>
      </c>
      <c r="C35" t="b">
        <f>IF(Product_Input!F11&lt;&gt;"",TRUE,FALSE)</f>
        <v>0</v>
      </c>
      <c r="D35" t="b">
        <f>IF(Product_Input!K11&lt;&gt;"",TRUE,FALSE)</f>
        <v>0</v>
      </c>
      <c r="E35" t="b">
        <f>IF(Market_Input!B11&lt;&gt;"",TRUE,FALSE)</f>
        <v>0</v>
      </c>
      <c r="F35" t="b">
        <f>IF(Market_Input!I11&lt;&gt;"",TRUE,FALSE)</f>
        <v>0</v>
      </c>
      <c r="G35" t="b">
        <f>IF(Market_Input!J11&lt;&gt;"",TRUE,FALSE)</f>
        <v>0</v>
      </c>
      <c r="H35" t="str">
        <f t="shared" si="0"/>
        <v>❌ INCOMPLETE</v>
      </c>
    </row>
    <row r="36" spans="1:8" x14ac:dyDescent="0.3">
      <c r="A36">
        <v>11</v>
      </c>
      <c r="B36" t="b">
        <f>IF(Product_Input!B12&lt;&gt;"",TRUE,FALSE)</f>
        <v>0</v>
      </c>
      <c r="C36" t="b">
        <f>IF(Product_Input!F12&lt;&gt;"",TRUE,FALSE)</f>
        <v>0</v>
      </c>
      <c r="D36" t="b">
        <f>IF(Product_Input!K12&lt;&gt;"",TRUE,FALSE)</f>
        <v>0</v>
      </c>
      <c r="E36" t="b">
        <f>IF(Market_Input!B12&lt;&gt;"",TRUE,FALSE)</f>
        <v>0</v>
      </c>
      <c r="F36" t="b">
        <f>IF(Market_Input!I12&lt;&gt;"",TRUE,FALSE)</f>
        <v>0</v>
      </c>
      <c r="G36" t="b">
        <f>IF(Market_Input!J12&lt;&gt;"",TRUE,FALSE)</f>
        <v>0</v>
      </c>
      <c r="H36" t="str">
        <f t="shared" si="0"/>
        <v>❌ INCOMPLETE</v>
      </c>
    </row>
    <row r="37" spans="1:8" x14ac:dyDescent="0.3">
      <c r="A37">
        <v>12</v>
      </c>
      <c r="B37" t="b">
        <f>IF(Product_Input!B13&lt;&gt;"",TRUE,FALSE)</f>
        <v>0</v>
      </c>
      <c r="C37" t="b">
        <f>IF(Product_Input!F13&lt;&gt;"",TRUE,FALSE)</f>
        <v>0</v>
      </c>
      <c r="D37" t="b">
        <f>IF(Product_Input!K13&lt;&gt;"",TRUE,FALSE)</f>
        <v>0</v>
      </c>
      <c r="E37" t="b">
        <f>IF(Market_Input!B13&lt;&gt;"",TRUE,FALSE)</f>
        <v>0</v>
      </c>
      <c r="F37" t="b">
        <f>IF(Market_Input!I13&lt;&gt;"",TRUE,FALSE)</f>
        <v>0</v>
      </c>
      <c r="G37" t="b">
        <f>IF(Market_Input!J13&lt;&gt;"",TRUE,FALSE)</f>
        <v>0</v>
      </c>
      <c r="H37" t="str">
        <f t="shared" si="0"/>
        <v>❌ INCOMPLETE</v>
      </c>
    </row>
    <row r="38" spans="1:8" x14ac:dyDescent="0.3">
      <c r="A38">
        <v>13</v>
      </c>
      <c r="B38" t="b">
        <f>IF(Product_Input!B14&lt;&gt;"",TRUE,FALSE)</f>
        <v>0</v>
      </c>
      <c r="C38" t="b">
        <f>IF(Product_Input!F14&lt;&gt;"",TRUE,FALSE)</f>
        <v>0</v>
      </c>
      <c r="D38" t="b">
        <f>IF(Product_Input!K14&lt;&gt;"",TRUE,FALSE)</f>
        <v>0</v>
      </c>
      <c r="E38" t="b">
        <f>IF(Market_Input!B14&lt;&gt;"",TRUE,FALSE)</f>
        <v>0</v>
      </c>
      <c r="F38" t="b">
        <f>IF(Market_Input!I14&lt;&gt;"",TRUE,FALSE)</f>
        <v>0</v>
      </c>
      <c r="G38" t="b">
        <f>IF(Market_Input!J14&lt;&gt;"",TRUE,FALSE)</f>
        <v>0</v>
      </c>
      <c r="H38" t="str">
        <f t="shared" si="0"/>
        <v>❌ INCOMPLETE</v>
      </c>
    </row>
    <row r="39" spans="1:8" x14ac:dyDescent="0.3">
      <c r="A39">
        <v>14</v>
      </c>
      <c r="B39" t="b">
        <f>IF(Product_Input!B15&lt;&gt;"",TRUE,FALSE)</f>
        <v>0</v>
      </c>
      <c r="C39" t="b">
        <f>IF(Product_Input!F15&lt;&gt;"",TRUE,FALSE)</f>
        <v>0</v>
      </c>
      <c r="D39" t="b">
        <f>IF(Product_Input!K15&lt;&gt;"",TRUE,FALSE)</f>
        <v>0</v>
      </c>
      <c r="E39" t="b">
        <f>IF(Market_Input!B15&lt;&gt;"",TRUE,FALSE)</f>
        <v>0</v>
      </c>
      <c r="F39" t="b">
        <f>IF(Market_Input!I15&lt;&gt;"",TRUE,FALSE)</f>
        <v>0</v>
      </c>
      <c r="G39" t="b">
        <f>IF(Market_Input!J15&lt;&gt;"",TRUE,FALSE)</f>
        <v>0</v>
      </c>
      <c r="H39" t="str">
        <f t="shared" si="0"/>
        <v>❌ INCOMPLETE</v>
      </c>
    </row>
    <row r="40" spans="1:8" x14ac:dyDescent="0.3">
      <c r="A40">
        <v>15</v>
      </c>
      <c r="B40" t="b">
        <f>IF(Product_Input!B16&lt;&gt;"",TRUE,FALSE)</f>
        <v>0</v>
      </c>
      <c r="C40" t="b">
        <f>IF(Product_Input!F16&lt;&gt;"",TRUE,FALSE)</f>
        <v>0</v>
      </c>
      <c r="D40" t="b">
        <f>IF(Product_Input!K16&lt;&gt;"",TRUE,FALSE)</f>
        <v>0</v>
      </c>
      <c r="E40" t="b">
        <f>IF(Market_Input!B16&lt;&gt;"",TRUE,FALSE)</f>
        <v>0</v>
      </c>
      <c r="F40" t="b">
        <f>IF(Market_Input!I16&lt;&gt;"",TRUE,FALSE)</f>
        <v>0</v>
      </c>
      <c r="G40" t="b">
        <f>IF(Market_Input!J16&lt;&gt;"",TRUE,FALSE)</f>
        <v>0</v>
      </c>
      <c r="H40" t="str">
        <f t="shared" si="0"/>
        <v>❌ INCOMPLETE</v>
      </c>
    </row>
    <row r="41" spans="1:8" x14ac:dyDescent="0.3">
      <c r="A41">
        <v>16</v>
      </c>
      <c r="B41" t="b">
        <f>IF(Product_Input!B17&lt;&gt;"",TRUE,FALSE)</f>
        <v>0</v>
      </c>
      <c r="C41" t="b">
        <f>IF(Product_Input!F17&lt;&gt;"",TRUE,FALSE)</f>
        <v>0</v>
      </c>
      <c r="D41" t="b">
        <f>IF(Product_Input!K17&lt;&gt;"",TRUE,FALSE)</f>
        <v>0</v>
      </c>
      <c r="E41" t="b">
        <f>IF(Market_Input!B17&lt;&gt;"",TRUE,FALSE)</f>
        <v>0</v>
      </c>
      <c r="F41" t="b">
        <f>IF(Market_Input!I17&lt;&gt;"",TRUE,FALSE)</f>
        <v>0</v>
      </c>
      <c r="G41" t="b">
        <f>IF(Market_Input!J17&lt;&gt;"",TRUE,FALSE)</f>
        <v>0</v>
      </c>
      <c r="H41" t="str">
        <f t="shared" si="0"/>
        <v>❌ INCOMPLETE</v>
      </c>
    </row>
    <row r="42" spans="1:8" x14ac:dyDescent="0.3">
      <c r="A42">
        <v>17</v>
      </c>
      <c r="B42" t="b">
        <f>IF(Product_Input!B18&lt;&gt;"",TRUE,FALSE)</f>
        <v>0</v>
      </c>
      <c r="C42" t="b">
        <f>IF(Product_Input!F18&lt;&gt;"",TRUE,FALSE)</f>
        <v>0</v>
      </c>
      <c r="D42" t="b">
        <f>IF(Product_Input!K18&lt;&gt;"",TRUE,FALSE)</f>
        <v>0</v>
      </c>
      <c r="E42" t="b">
        <f>IF(Market_Input!B18&lt;&gt;"",TRUE,FALSE)</f>
        <v>0</v>
      </c>
      <c r="F42" t="b">
        <f>IF(Market_Input!I18&lt;&gt;"",TRUE,FALSE)</f>
        <v>0</v>
      </c>
      <c r="G42" t="b">
        <f>IF(Market_Input!J18&lt;&gt;"",TRUE,FALSE)</f>
        <v>0</v>
      </c>
      <c r="H42" t="str">
        <f t="shared" si="0"/>
        <v>❌ INCOMPLETE</v>
      </c>
    </row>
    <row r="43" spans="1:8" x14ac:dyDescent="0.3">
      <c r="A43">
        <v>18</v>
      </c>
      <c r="B43" t="b">
        <f>IF(Product_Input!B19&lt;&gt;"",TRUE,FALSE)</f>
        <v>0</v>
      </c>
      <c r="C43" t="b">
        <f>IF(Product_Input!F19&lt;&gt;"",TRUE,FALSE)</f>
        <v>0</v>
      </c>
      <c r="D43" t="b">
        <f>IF(Product_Input!K19&lt;&gt;"",TRUE,FALSE)</f>
        <v>0</v>
      </c>
      <c r="E43" t="b">
        <f>IF(Market_Input!B19&lt;&gt;"",TRUE,FALSE)</f>
        <v>0</v>
      </c>
      <c r="F43" t="b">
        <f>IF(Market_Input!I19&lt;&gt;"",TRUE,FALSE)</f>
        <v>0</v>
      </c>
      <c r="G43" t="b">
        <f>IF(Market_Input!J19&lt;&gt;"",TRUE,FALSE)</f>
        <v>0</v>
      </c>
      <c r="H43" t="str">
        <f t="shared" si="0"/>
        <v>❌ INCOMPLETE</v>
      </c>
    </row>
    <row r="44" spans="1:8" x14ac:dyDescent="0.3">
      <c r="A44">
        <v>19</v>
      </c>
      <c r="B44" t="b">
        <f>IF(Product_Input!B20&lt;&gt;"",TRUE,FALSE)</f>
        <v>0</v>
      </c>
      <c r="C44" t="b">
        <f>IF(Product_Input!F20&lt;&gt;"",TRUE,FALSE)</f>
        <v>0</v>
      </c>
      <c r="D44" t="b">
        <f>IF(Product_Input!K20&lt;&gt;"",TRUE,FALSE)</f>
        <v>0</v>
      </c>
      <c r="E44" t="b">
        <f>IF(Market_Input!B20&lt;&gt;"",TRUE,FALSE)</f>
        <v>0</v>
      </c>
      <c r="F44" t="b">
        <f>IF(Market_Input!I20&lt;&gt;"",TRUE,FALSE)</f>
        <v>0</v>
      </c>
      <c r="G44" t="b">
        <f>IF(Market_Input!J20&lt;&gt;"",TRUE,FALSE)</f>
        <v>0</v>
      </c>
      <c r="H44" t="str">
        <f t="shared" si="0"/>
        <v>❌ INCOMPLETE</v>
      </c>
    </row>
    <row r="45" spans="1:8" x14ac:dyDescent="0.3">
      <c r="A45">
        <v>20</v>
      </c>
      <c r="B45" t="b">
        <f>IF(Product_Input!B21&lt;&gt;"",TRUE,FALSE)</f>
        <v>0</v>
      </c>
      <c r="C45" t="b">
        <f>IF(Product_Input!F21&lt;&gt;"",TRUE,FALSE)</f>
        <v>0</v>
      </c>
      <c r="D45" t="b">
        <f>IF(Product_Input!K21&lt;&gt;"",TRUE,FALSE)</f>
        <v>0</v>
      </c>
      <c r="E45" t="b">
        <f>IF(Market_Input!B21&lt;&gt;"",TRUE,FALSE)</f>
        <v>0</v>
      </c>
      <c r="F45" t="b">
        <f>IF(Market_Input!I21&lt;&gt;"",TRUE,FALSE)</f>
        <v>0</v>
      </c>
      <c r="G45" t="b">
        <f>IF(Market_Input!J21&lt;&gt;"",TRUE,FALSE)</f>
        <v>0</v>
      </c>
      <c r="H45" t="str">
        <f t="shared" si="0"/>
        <v>❌ INCOMPLETE</v>
      </c>
    </row>
    <row r="46" spans="1:8" x14ac:dyDescent="0.3">
      <c r="A46">
        <v>21</v>
      </c>
      <c r="B46" t="b">
        <f>IF(Product_Input!B22&lt;&gt;"",TRUE,FALSE)</f>
        <v>0</v>
      </c>
      <c r="C46" t="b">
        <f>IF(Product_Input!F22&lt;&gt;"",TRUE,FALSE)</f>
        <v>0</v>
      </c>
      <c r="D46" t="b">
        <f>IF(Product_Input!K22&lt;&gt;"",TRUE,FALSE)</f>
        <v>0</v>
      </c>
      <c r="E46" t="b">
        <f>IF(Market_Input!B22&lt;&gt;"",TRUE,FALSE)</f>
        <v>0</v>
      </c>
      <c r="F46" t="b">
        <f>IF(Market_Input!I22&lt;&gt;"",TRUE,FALSE)</f>
        <v>0</v>
      </c>
      <c r="G46" t="b">
        <f>IF(Market_Input!J22&lt;&gt;"",TRUE,FALSE)</f>
        <v>0</v>
      </c>
      <c r="H46" t="str">
        <f t="shared" si="0"/>
        <v>❌ INCOMPLETE</v>
      </c>
    </row>
    <row r="47" spans="1:8" x14ac:dyDescent="0.3">
      <c r="A47">
        <v>22</v>
      </c>
      <c r="B47" t="b">
        <f>IF(Product_Input!B23&lt;&gt;"",TRUE,FALSE)</f>
        <v>0</v>
      </c>
      <c r="C47" t="b">
        <f>IF(Product_Input!F23&lt;&gt;"",TRUE,FALSE)</f>
        <v>0</v>
      </c>
      <c r="D47" t="b">
        <f>IF(Product_Input!K23&lt;&gt;"",TRUE,FALSE)</f>
        <v>0</v>
      </c>
      <c r="E47" t="b">
        <f>IF(Market_Input!B23&lt;&gt;"",TRUE,FALSE)</f>
        <v>0</v>
      </c>
      <c r="F47" t="b">
        <f>IF(Market_Input!I23&lt;&gt;"",TRUE,FALSE)</f>
        <v>0</v>
      </c>
      <c r="G47" t="b">
        <f>IF(Market_Input!J23&lt;&gt;"",TRUE,FALSE)</f>
        <v>0</v>
      </c>
      <c r="H47" t="str">
        <f t="shared" si="0"/>
        <v>❌ INCOMPLETE</v>
      </c>
    </row>
    <row r="48" spans="1:8" x14ac:dyDescent="0.3">
      <c r="A48">
        <v>23</v>
      </c>
      <c r="B48" t="b">
        <f>IF(Product_Input!B24&lt;&gt;"",TRUE,FALSE)</f>
        <v>0</v>
      </c>
      <c r="C48" t="b">
        <f>IF(Product_Input!F24&lt;&gt;"",TRUE,FALSE)</f>
        <v>0</v>
      </c>
      <c r="D48" t="b">
        <f>IF(Product_Input!K24&lt;&gt;"",TRUE,FALSE)</f>
        <v>0</v>
      </c>
      <c r="E48" t="b">
        <f>IF(Market_Input!B24&lt;&gt;"",TRUE,FALSE)</f>
        <v>0</v>
      </c>
      <c r="F48" t="b">
        <f>IF(Market_Input!I24&lt;&gt;"",TRUE,FALSE)</f>
        <v>0</v>
      </c>
      <c r="G48" t="b">
        <f>IF(Market_Input!J24&lt;&gt;"",TRUE,FALSE)</f>
        <v>0</v>
      </c>
      <c r="H48" t="str">
        <f t="shared" si="0"/>
        <v>❌ INCOMPLETE</v>
      </c>
    </row>
    <row r="49" spans="1:8" x14ac:dyDescent="0.3">
      <c r="A49">
        <v>24</v>
      </c>
      <c r="B49" t="b">
        <f>IF(Product_Input!B25&lt;&gt;"",TRUE,FALSE)</f>
        <v>0</v>
      </c>
      <c r="C49" t="b">
        <f>IF(Product_Input!F25&lt;&gt;"",TRUE,FALSE)</f>
        <v>0</v>
      </c>
      <c r="D49" t="b">
        <f>IF(Product_Input!K25&lt;&gt;"",TRUE,FALSE)</f>
        <v>0</v>
      </c>
      <c r="E49" t="b">
        <f>IF(Market_Input!B25&lt;&gt;"",TRUE,FALSE)</f>
        <v>0</v>
      </c>
      <c r="F49" t="b">
        <f>IF(Market_Input!I25&lt;&gt;"",TRUE,FALSE)</f>
        <v>0</v>
      </c>
      <c r="G49" t="b">
        <f>IF(Market_Input!J25&lt;&gt;"",TRUE,FALSE)</f>
        <v>0</v>
      </c>
      <c r="H49" t="str">
        <f t="shared" si="0"/>
        <v>❌ INCOMPLETE</v>
      </c>
    </row>
    <row r="50" spans="1:8" x14ac:dyDescent="0.3">
      <c r="A50">
        <v>25</v>
      </c>
      <c r="B50" t="b">
        <f>IF(Product_Input!B26&lt;&gt;"",TRUE,FALSE)</f>
        <v>0</v>
      </c>
      <c r="C50" t="b">
        <f>IF(Product_Input!F26&lt;&gt;"",TRUE,FALSE)</f>
        <v>0</v>
      </c>
      <c r="D50" t="b">
        <f>IF(Product_Input!K26&lt;&gt;"",TRUE,FALSE)</f>
        <v>0</v>
      </c>
      <c r="E50" t="b">
        <f>IF(Market_Input!B26&lt;&gt;"",TRUE,FALSE)</f>
        <v>0</v>
      </c>
      <c r="F50" t="b">
        <f>IF(Market_Input!I26&lt;&gt;"",TRUE,FALSE)</f>
        <v>0</v>
      </c>
      <c r="G50" t="b">
        <f>IF(Market_Input!J26&lt;&gt;"",TRUE,FALSE)</f>
        <v>0</v>
      </c>
      <c r="H50" t="str">
        <f t="shared" si="0"/>
        <v>❌ INCOMPLETE</v>
      </c>
    </row>
  </sheetData>
  <mergeCells count="1">
    <mergeCell ref="A1:H1"/>
  </mergeCells>
  <conditionalFormatting sqref="A1">
    <cfRule type="containsText" dxfId="6" priority="5" operator="containsText" text="BLOCKED">
      <formula>NOT(ISERROR(SEARCH("BLOCKED",A1)))</formula>
    </cfRule>
    <cfRule type="containsText" dxfId="5" priority="6" operator="containsText" text="WARNINGS">
      <formula>NOT(ISERROR(SEARCH("WARNINGS",A1)))</formula>
    </cfRule>
    <cfRule type="containsText" dxfId="4" priority="7" operator="containsText" text="READY">
      <formula>NOT(ISERROR(SEARCH("READY",A1)))</formula>
    </cfRule>
  </conditionalFormatting>
  <conditionalFormatting sqref="B6:B10">
    <cfRule type="cellIs" dxfId="3" priority="1" operator="equal">
      <formula>TRUE</formula>
    </cfRule>
  </conditionalFormatting>
  <conditionalFormatting sqref="B14:B17">
    <cfRule type="cellIs" dxfId="2" priority="2" operator="equal">
      <formula>TRUE</formula>
    </cfRule>
  </conditionalFormatting>
  <conditionalFormatting sqref="H26:H50">
    <cfRule type="containsText" dxfId="1" priority="3" operator="containsText" text="INCOMPLETE">
      <formula>NOT(ISERROR(SEARCH("INCOMPLETE",H26)))</formula>
    </cfRule>
    <cfRule type="containsText" dxfId="0" priority="4" operator="containsText" text="COMPLETE">
      <formula>NOT(ISERROR(SEARCH("COMPLETE",H26)))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47</vt:i4>
      </vt:variant>
    </vt:vector>
  </HeadingPairs>
  <TitlesOfParts>
    <vt:vector size="56" baseType="lpstr">
      <vt:lpstr>Dashboard</vt:lpstr>
      <vt:lpstr>Client_Info</vt:lpstr>
      <vt:lpstr>Product_Input</vt:lpstr>
      <vt:lpstr>Market_Input</vt:lpstr>
      <vt:lpstr>FX_Rates</vt:lpstr>
      <vt:lpstr>Pricing_Logic</vt:lpstr>
      <vt:lpstr>Scenarios</vt:lpstr>
      <vt:lpstr>Outputs</vt:lpstr>
      <vt:lpstr>Data_Audit</vt:lpstr>
      <vt:lpstr>BaseCase_Local</vt:lpstr>
      <vt:lpstr>BestCase_Local</vt:lpstr>
      <vt:lpstr>BreakEven_Local</vt:lpstr>
      <vt:lpstr>BreakEven_USD</vt:lpstr>
      <vt:lpstr>Business_Name</vt:lpstr>
      <vt:lpstr>Client_City</vt:lpstr>
      <vt:lpstr>Client_Country</vt:lpstr>
      <vt:lpstr>Client_Currency</vt:lpstr>
      <vt:lpstr>Client_Name</vt:lpstr>
      <vt:lpstr>Client_State</vt:lpstr>
      <vt:lpstr>Client_ZIP</vt:lpstr>
      <vt:lpstr>COGS</vt:lpstr>
      <vt:lpstr>COL_Index</vt:lpstr>
      <vt:lpstr>Commodity_Change</vt:lpstr>
      <vt:lpstr>Comp_Avg</vt:lpstr>
      <vt:lpstr>Comp_Max</vt:lpstr>
      <vt:lpstr>Comp_Min</vt:lpstr>
      <vt:lpstr>CompPrice_Local</vt:lpstr>
      <vt:lpstr>CompPrice_USD</vt:lpstr>
      <vt:lpstr>CostPlus_Local</vt:lpstr>
      <vt:lpstr>CostPlus_USD</vt:lpstr>
      <vt:lpstr>Fixed_Cost</vt:lpstr>
      <vt:lpstr>FX_Code</vt:lpstr>
      <vt:lpstr>FX_Rate</vt:lpstr>
      <vt:lpstr>FX_Value</vt:lpstr>
      <vt:lpstr>Industry</vt:lpstr>
      <vt:lpstr>Inflation_Rate</vt:lpstr>
      <vt:lpstr>InflationPrice_Local</vt:lpstr>
      <vt:lpstr>InflationPrice_USD</vt:lpstr>
      <vt:lpstr>Labor_Cost</vt:lpstr>
      <vt:lpstr>Overhead_Cost</vt:lpstr>
      <vt:lpstr>Position_Adjust</vt:lpstr>
      <vt:lpstr>Positioning</vt:lpstr>
      <vt:lpstr>Prev_Month_End</vt:lpstr>
      <vt:lpstr>Product_Category</vt:lpstr>
      <vt:lpstr>Product_Description</vt:lpstr>
      <vt:lpstr>Product_Name</vt:lpstr>
      <vt:lpstr>Recommended_Local</vt:lpstr>
      <vt:lpstr>Seasonality</vt:lpstr>
      <vt:lpstr>Target_Margin</vt:lpstr>
      <vt:lpstr>Total_Cost</vt:lpstr>
      <vt:lpstr>Unit_Size</vt:lpstr>
      <vt:lpstr>Units_History</vt:lpstr>
      <vt:lpstr>Valuation_Date</vt:lpstr>
      <vt:lpstr>Variable_Cost</vt:lpstr>
      <vt:lpstr>Wage_Growth</vt:lpstr>
      <vt:lpstr>WorstCase_Local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Qeihan Anderson</dc:creator>
  <cp:lastModifiedBy>Qeihan Anderson</cp:lastModifiedBy>
  <dcterms:created xsi:type="dcterms:W3CDTF">2026-05-20T06:49:20Z</dcterms:created>
  <dcterms:modified xsi:type="dcterms:W3CDTF">2026-05-21T05:51:32Z</dcterms:modified>
</cp:coreProperties>
</file>